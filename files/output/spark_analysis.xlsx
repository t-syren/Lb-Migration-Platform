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ob Details" sheetId="2" r:id="rId2"/>
    <sheet name="Transformations" sheetId="3" r:id="rId3"/>
    <sheet name="Jobs Transformations Xref" sheetId="4" r:id="rId4"/>
    <sheet name="Jobs Transformations List" sheetId="5" r:id="rId5"/>
    <sheet name="Functions" sheetId="6" r:id="rId6"/>
    <sheet name="Functions by Job" sheetId="7" r:id="rId7"/>
    <sheet name="SQL Functions by Job" sheetId="8" r:id="rId8"/>
    <sheet name="Subject Areas" sheetId="9" r:id="rId9"/>
    <sheet name="SQL Statements" sheetId="10" r:id="rId10"/>
    <sheet name="Combined Checksums" sheetId="11" r:id="rId11"/>
    <sheet name="Transformation Expressions" sheetId="12" r:id="rId12"/>
    <sheet name="Extended Script Information" sheetId="13" r:id="rId13"/>
    <sheet name="Packages" sheetId="14" r:id="rId14"/>
    <sheet name="Comments" sheetId="15" r:id="rId15"/>
    <sheet name="Embedded SQL Summary" sheetId="16" r:id="rId16"/>
    <sheet name="Embedded SQL Programs" sheetId="17" r:id="rId17"/>
    <sheet name="Embedded SQL Script Categories" sheetId="18" r:id="rId18"/>
    <sheet name="Embedded SQL UNKNOWN Category" sheetId="19" r:id="rId19"/>
    <sheet name="Embedded SQL Functions" sheetId="20" r:id="rId20"/>
    <sheet name="Embedded SQL Func by Script" sheetId="21" r:id="rId21"/>
    <sheet name="Embedded SQL Scripts Func Xref" sheetId="22" r:id="rId22"/>
    <sheet name="Embedded SQL Referenced Objects" sheetId="23" r:id="rId23"/>
    <sheet name="Embedded SQL Program-Obj Xref" sheetId="24" r:id="rId24"/>
    <sheet name="RAW_PROGRAM_OBJECT_XREF" sheetId="25" r:id="rId25"/>
  </sheets>
  <definedNames>
    <definedName name="_xlnm._FilterDatabase" localSheetId="10" hidden="1">'Combined Checksums'!$A$1:$C$5</definedName>
    <definedName name="_xlnm._FilterDatabase" localSheetId="14" hidden="1">Comments!$A$1:$C$3</definedName>
    <definedName name="_xlnm._FilterDatabase" localSheetId="19" hidden="1">'Embedded SQL Functions'!$A$1:$B$4</definedName>
    <definedName name="_xlnm._FilterDatabase" localSheetId="23" hidden="1">'Embedded SQL Program-Obj Xref'!$A$1:$B$2</definedName>
    <definedName name="_xlnm._FilterDatabase" localSheetId="16" hidden="1">'Embedded SQL Programs'!$A$1:$L$2</definedName>
    <definedName name="_xlnm._FilterDatabase" localSheetId="22" hidden="1">'Embedded SQL Referenced Objects'!$A$1:$G$2</definedName>
    <definedName name="_xlnm._FilterDatabase" localSheetId="17" hidden="1">'Embedded SQL Script Categories'!$A$1:$B$2</definedName>
    <definedName name="_xlnm._FilterDatabase" localSheetId="18" hidden="1">'Embedded SQL UNKNOWN Category'!$A$1:$B$1</definedName>
    <definedName name="_xlnm._FilterDatabase" localSheetId="12" hidden="1">'Extended Script Information'!$A$1:$D$4</definedName>
    <definedName name="_xlnm._FilterDatabase" localSheetId="6" hidden="1">'Functions by Job'!$A$1:$C$34</definedName>
    <definedName name="_xlnm._FilterDatabase" localSheetId="5" hidden="1">Functions!$A$1:$B$23</definedName>
    <definedName name="_xlnm._FilterDatabase" localSheetId="1" hidden="1">'Job Details'!$A$1:$L$4</definedName>
    <definedName name="_xlnm._FilterDatabase" localSheetId="4" hidden="1">'Jobs Transformations List'!$A$1:$C$5</definedName>
    <definedName name="_xlnm._FilterDatabase" localSheetId="3" hidden="1">'Jobs Transformations Xref'!$A$1:$H$4</definedName>
    <definedName name="_xlnm._FilterDatabase" localSheetId="13" hidden="1">Packages!$A$1:$B$10</definedName>
    <definedName name="_xlnm._FilterDatabase" localSheetId="24" hidden="1">RAW_PROGRAM_OBJECT_XREF!$A$1:$D$2</definedName>
    <definedName name="_xlnm._FilterDatabase" localSheetId="9" hidden="1">'SQL Statements'!$A$1:$F$2</definedName>
    <definedName name="_xlnm._FilterDatabase" localSheetId="8" hidden="1">'Subject Areas'!$A$1:$C$1</definedName>
    <definedName name="_xlnm._FilterDatabase" localSheetId="11" hidden="1">'Transformation Expressions'!$A$1:$D$1</definedName>
    <definedName name="_xlnm._FilterDatabase" localSheetId="2" hidden="1">Transformations!$A$1:$C$4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  <comment ref="F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</commentList>
</comments>
</file>

<file path=xl/sharedStrings.xml><?xml version="1.0" encoding="utf-8"?>
<sst xmlns="http://schemas.openxmlformats.org/spreadsheetml/2006/main" count="422" uniqueCount="202">
  <si>
    <t>Run date/time: 2026-04-10 11:45:17</t>
  </si>
  <si>
    <t>Code Base Details</t>
  </si>
  <si>
    <t>Total Jobs</t>
  </si>
  <si>
    <t>Total Nodes</t>
  </si>
  <si>
    <t>Analyzer Version: 5.6.7 Build 20260227</t>
  </si>
  <si>
    <t>Command Line Options:</t>
  </si>
  <si>
    <t>Option</t>
  </si>
  <si>
    <t>Value</t>
  </si>
  <si>
    <t>-E</t>
  </si>
  <si>
    <t>-F</t>
  </si>
  <si>
    <t>-Q</t>
  </si>
  <si>
    <t>ALL</t>
  </si>
  <si>
    <t>-d</t>
  </si>
  <si>
    <t>/Users/tanishkchaturvedi/Desktop/Tanishk Chaturvedi/WORK/CONSULATNCY/SYREN/lakebrdige/source_spark</t>
  </si>
  <si>
    <t>-e</t>
  </si>
  <si>
    <t>-r</t>
  </si>
  <si>
    <t>/Users/tanishkchaturvedi/Desktop/Tanishk Chaturvedi/WORK/CONSULATNCY/SYREN/lakebrdige/output/spark_analysis.xlsx</t>
  </si>
  <si>
    <t>-t</t>
  </si>
  <si>
    <t>PYSPARK</t>
  </si>
  <si>
    <t>Analyzer run duration:</t>
  </si>
  <si>
    <t>0h, 0m, 0s</t>
  </si>
  <si>
    <t>Job Name</t>
  </si>
  <si>
    <t>Folder</t>
  </si>
  <si>
    <t>Source File</t>
  </si>
  <si>
    <t>Included</t>
  </si>
  <si>
    <t>Job Type</t>
  </si>
  <si>
    <t>Categorization</t>
  </si>
  <si>
    <t>Number of Nodes</t>
  </si>
  <si>
    <t>Categorization Metrics</t>
  </si>
  <si>
    <t>Legacy Checksum</t>
  </si>
  <si>
    <t>Checksum Extended</t>
  </si>
  <si>
    <t>LineStart</t>
  </si>
  <si>
    <t>LineEnd</t>
  </si>
  <si>
    <t>/Users/tanishkchaturvedi/Desktop/Tanishk Chaturvedi/WORK/CONSULATNCY/SYREN/lakebrdige/source_spark/pyspark-arraytype.py</t>
  </si>
  <si>
    <t>YES</t>
  </si>
  <si>
    <t>LOW</t>
  </si>
  <si>
    <t>Node count: 8,  count: 0, Target count: 0, Joiner count: 0, Aggregator count: 0, Lookup count: 0,  count: 0, Expressions with 5 or more function calls: 0, Medium category breaks: 0, High category breaks: 0</t>
  </si>
  <si>
    <t>C2885D5CEE7DAEDBFD036519EE1D88FB</t>
  </si>
  <si>
    <t>fffe7555971516404b32b83e26b5cb0e4791390296e46fb1cc39ca445212e3121774c30a7915130180bab3f2fc8068c1a7bf90f3d86a967f9464dd6e653d57bd53da28653046b929274b0344e37d2f7c46ace4c0ecf3bed3de1501207530d4c98c0a4625f71c529538f7dc76842652105e2d69dff75a11891145f2160c77dfd899b4251df9610f841a99d3173c1a81c11c2e57faaa044bdda54b7e466f26a124c4902a67f7e11f76172c89c6f9cb07b33d176b43342b2222</t>
  </si>
  <si>
    <t>/Users/tanishkchaturvedi/Desktop/Tanishk Chaturvedi/WORK/CONSULATNCY/SYREN/lakebrdige/source_spark/pyspark-cast-column.py</t>
  </si>
  <si>
    <t>Node count: ,  count: 0, Target count: 0, Joiner count: 0, Aggregator count: 0, Lookup count: 0,  count: 0, Expressions with 5 or more function calls: 0, Medium category breaks: 0, High category breaks: 0</t>
  </si>
  <si>
    <t>229E6853E87FFDA1C8BD675B7A209866</t>
  </si>
  <si>
    <t>4cb7a1ec892035232d9d463b54175a3b9600b25f1cee4090d1c01f513b10e0061774c30a7915130180bab3f2fc8068c1a7bf90f3d86a967f9464dd6e653d57bd53da28653046b929274b0344e37d2f7c46ace4c0ecf3bed3de1501207530d4c98c0a4625f71c529538f7dc76842652105e2d69dff75a11891145f2160c77dfd899b4251df9610f841a99d3173c1a81c11c2e57faaa044bdda54b7e466f26a1248d5193b78d2f25c8a0e998114c0b4cd7b3556da0906232f1</t>
  </si>
  <si>
    <t>/Users/tanishkchaturvedi/Desktop/Tanishk Chaturvedi/WORK/CONSULATNCY/SYREN/lakebrdige/source_spark/pyspark-collect.py</t>
  </si>
  <si>
    <t>Node count: 1,  count: 0, Target count: 0, Joiner count: 0, Aggregator count: 0, Lookup count: 0,  count: 0, Expressions with 5 or more function calls: 0, Medium category breaks: 0, High category breaks: 0</t>
  </si>
  <si>
    <t>C7ACAE4542FEEC712B3BC003A289EAB4</t>
  </si>
  <si>
    <t>77e671fa3e07575af1d6feaf2dae9c5d84ca51c60296a4d4584f29de09006d7e1774c30a7915130180bab3f2fc8068c1a7bf90f3d86a967f9464dd6e653d57bd53da28653046b929274b0344e37d2f7c46ace4c0ecf3bed3de1501207530d4c98c0a4625f71c529538f7dc76842652105e2d69dff75a11891145f2160c77dfd899b4251df9610f841a99d3173c1a81c11c2e57faaa044bdda54b7e466f26a124470b5ba959707c8d1989356d0c006d80</t>
  </si>
  <si>
    <t>Job Complexity Categorization</t>
  </si>
  <si>
    <t>MEDIUM</t>
  </si>
  <si>
    <t>HIGH</t>
  </si>
  <si>
    <t>VERY_HIGH</t>
  </si>
  <si>
    <t>Transformation Type</t>
  </si>
  <si>
    <t># of Occurrences</t>
  </si>
  <si>
    <t>Occurs in # of Jobs</t>
  </si>
  <si>
    <t>select</t>
  </si>
  <si>
    <t>alias</t>
  </si>
  <si>
    <t>explode</t>
  </si>
  <si>
    <t>Priority</t>
  </si>
  <si>
    <t>Job</t>
  </si>
  <si>
    <t>Transformation</t>
  </si>
  <si>
    <t>Count</t>
  </si>
  <si>
    <t>Function</t>
  </si>
  <si>
    <t># of Calls</t>
  </si>
  <si>
    <t>show</t>
  </si>
  <si>
    <t>StringType</t>
  </si>
  <si>
    <t>cast</t>
  </si>
  <si>
    <t>printSchema</t>
  </si>
  <si>
    <t>StructField</t>
  </si>
  <si>
    <t>col</t>
  </si>
  <si>
    <t>getOrCreate</t>
  </si>
  <si>
    <t>print</t>
  </si>
  <si>
    <t>appName</t>
  </si>
  <si>
    <t>ArrayType</t>
  </si>
  <si>
    <t>createDataFrame</t>
  </si>
  <si>
    <t>withColumn</t>
  </si>
  <si>
    <t>collect</t>
  </si>
  <si>
    <t>StructType</t>
  </si>
  <si>
    <t>array</t>
  </si>
  <si>
    <t>createOrReplaceTempView</t>
  </si>
  <si>
    <t>selectExpr</t>
  </si>
  <si>
    <t>array_contains</t>
  </si>
  <si>
    <t>str</t>
  </si>
  <si>
    <t>DateType</t>
  </si>
  <si>
    <t>split</t>
  </si>
  <si>
    <t>BooleanType</t>
  </si>
  <si>
    <t>STRING</t>
  </si>
  <si>
    <t>DATE</t>
  </si>
  <si>
    <t>BOOLEAN</t>
  </si>
  <si>
    <t>Subject Area Name</t>
  </si>
  <si>
    <t>Subject Area Code</t>
  </si>
  <si>
    <t>Description</t>
  </si>
  <si>
    <t>Item Name</t>
  </si>
  <si>
    <t>Node</t>
  </si>
  <si>
    <t>Complexity</t>
  </si>
  <si>
    <t>Connection Type</t>
  </si>
  <si>
    <t>Length</t>
  </si>
  <si>
    <t>SQL</t>
  </si>
  <si>
    <t>1__spark_sql</t>
  </si>
  <si>
    <t>UNKNOWN</t>
  </si>
  <si>
    <t>SELECT STRING(age),BOOLEAN(isGraduated),DATE(jobStartDate) from CastExample</t>
  </si>
  <si>
    <t>ETL Job Name</t>
  </si>
  <si>
    <t>Level</t>
  </si>
  <si>
    <t>Extended Checksum</t>
  </si>
  <si>
    <t>ETL</t>
  </si>
  <si>
    <t>/Users/tanishkchaturvedi/Desktop/Tanishk Chaturvedi/WORK/CONSULATNCY/SYREN/lakebrdige/source_spark/pyspark-cast-column.py.1__spark_sql</t>
  </si>
  <si>
    <t>737953301be662cf642e86c80bd2a6912d778171c0a6020f18b4545a456711dd1774c30a7915130180bab3f2fc8068c13eb55511ff16dfc81ed309f5e0cac0761832869adde91d7f274b0344e37d2f7ce7e9b6a6d8c3e4da2a1d93978b19411090d7f4b36d4cc5b9dfaaf34eba658c5fe78357a37328802cb0c7cc67bbc8dce96ffbab4dff3d41ac3f916fa44a24478c1c2e57faaa044bddcbe66325ca03c81fd7498eb35771e652</t>
  </si>
  <si>
    <t>Field</t>
  </si>
  <si>
    <t>Expression</t>
  </si>
  <si>
    <t>File</t>
  </si>
  <si>
    <t>Total Line Count</t>
  </si>
  <si>
    <t>Commented Lines Count</t>
  </si>
  <si>
    <t>Blank Lines Count</t>
  </si>
  <si>
    <t>File Name</t>
  </si>
  <si>
    <t>Package</t>
  </si>
  <si>
    <t>from pyspark.sql.functions import split</t>
  </si>
  <si>
    <t>from pyspark.sql.functions import array</t>
  </si>
  <si>
    <t>from pyspark.sql.types import StringType, ArrayType,StructType,StructField</t>
  </si>
  <si>
    <t>from pyspark.sql.functions import array_contains</t>
  </si>
  <si>
    <t>from pyspark.sql.functions import explode</t>
  </si>
  <si>
    <t>from pyspark.sql import SparkSession</t>
  </si>
  <si>
    <t>from pyspark.sql.functions import col</t>
  </si>
  <si>
    <t>import pyspark</t>
  </si>
  <si>
    <t>from pyspark.sql.types import StringType,BooleanType,DateType</t>
  </si>
  <si>
    <t>Comment</t>
  </si>
  <si>
    <t>Comment Type</t>
  </si>
  <si>
    <t># -*- coding: utf-8 -*-</t>
  </si>
  <si>
    <t>One Line</t>
  </si>
  <si>
    <t>"""</t>
  </si>
  <si>
    <t>Multi Line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</si>
  <si>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</si>
  <si>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</si>
  <si>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</si>
  <si>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</si>
  <si>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</si>
  <si>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</si>
  <si>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</si>
  <si>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</si>
  <si>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</si>
  <si>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</si>
  <si>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</si>
  <si>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</si>
  <si>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</si>
  <si>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</si>
  <si>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</si>
  <si>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</si>
  <si>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</si>
  <si>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</si>
  <si>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</si>
  <si>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0h, 0m, 10s</t>
  </si>
  <si>
    <t>Program Name</t>
  </si>
  <si>
    <t>Line Count</t>
  </si>
  <si>
    <t>Statement Count</t>
  </si>
  <si>
    <t>Procedure And Function Counts</t>
  </si>
  <si>
    <t>Script Category</t>
  </si>
  <si>
    <t>Script Type</t>
  </si>
  <si>
    <t>_Users_tanishkchaturvedi_Desktop_Tanishk_Chaturvedi_WORK_CONSULATNCY_SYREN_lakebrdige_source_spark_p_.sql</t>
  </si>
  <si>
    <t>/Users/tanishkchaturvedi/Desktop/Tanishk Chaturvedi/WORK/CONSULATNCY/SYREN/lakebrdige/output/spark_analysis_SQL_TEMP/_Users_tanishkchaturvedi_Desktop_Tanishk_Chaturvedi_WORK_CONSULATNCY_SYREN_lakebrdige_source_spark_p_.sql</t>
  </si>
  <si>
    <t>READ_DML</t>
  </si>
  <si>
    <t>Total Statement count: 1, Conventional Statement count: 1, Simple Statement count: 0, Pivot functions: 0, XML functions: 0, Loops: 0, Medium category breaks: 0, High category breaks: 0</t>
  </si>
  <si>
    <t>17D4E3319CA5A373A9244AAF3A2564DA</t>
  </si>
  <si>
    <t>SQL Script Categories</t>
  </si>
  <si>
    <t>SQL unknown category scripts</t>
  </si>
  <si>
    <t>Procedure or Function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</si>
  <si>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</si>
  <si>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</si>
  <si>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</si>
  <si>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</si>
  <si>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</si>
  <si>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</si>
  <si>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</si>
  <si>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</si>
  <si>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CastExample</t>
  </si>
  <si>
    <t>READ: 1</t>
  </si>
  <si>
    <t>Program</t>
  </si>
  <si>
    <t>Object</t>
  </si>
  <si>
    <t>Operation</t>
  </si>
  <si>
    <t>Worksheet Index</t>
  </si>
  <si>
    <t>Summary</t>
  </si>
  <si>
    <t>Job Details</t>
  </si>
  <si>
    <t>Transformations</t>
  </si>
  <si>
    <t>Jobs Transformations Xref</t>
  </si>
  <si>
    <t>Jobs Transformations List</t>
  </si>
  <si>
    <t>Functions</t>
  </si>
  <si>
    <t>Functions by Job</t>
  </si>
  <si>
    <t>SQL Functions by Job</t>
  </si>
  <si>
    <t>Subject Areas</t>
  </si>
  <si>
    <t>SQL Statements</t>
  </si>
  <si>
    <t>Combined Checksums</t>
  </si>
  <si>
    <t>Transformation Expressions</t>
  </si>
  <si>
    <t>Extended Script Information</t>
  </si>
  <si>
    <t>Packages</t>
  </si>
  <si>
    <t>Comments</t>
  </si>
  <si>
    <t>Embedded SQL Summary</t>
  </si>
  <si>
    <t>Embedded SQL Programs</t>
  </si>
  <si>
    <t>Embedded SQL Script Categories</t>
  </si>
  <si>
    <t>Embedded SQL UNKNOWN Category</t>
  </si>
  <si>
    <t>Embedded SQL Functions</t>
  </si>
  <si>
    <t>Embedded SQL Func by Script</t>
  </si>
  <si>
    <t>Embedded SQL Scripts Func Xref</t>
  </si>
  <si>
    <t>Embedded SQL Referenced Objects</t>
  </si>
  <si>
    <t>Embedded SQL Program-Obj Xref</t>
  </si>
  <si>
    <t>RAW_PROGRAM_OBJECT_XREF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</si>
</sst>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25.7109375" customWidth="1"/>
    <col min="2" max="2" width="1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176</v>
      </c>
      <c r="E1" s="2" t="s">
        <v>4</v>
      </c>
      <c r="F1" s="2"/>
    </row>
    <row r="2" spans="1:6">
      <c r="D2" s="3" t="s">
        <v>177</v>
      </c>
      <c r="E2" s="2" t="s">
        <v>5</v>
      </c>
      <c r="F2" s="2"/>
    </row>
    <row r="3" spans="1:6">
      <c r="A3" s="4" t="s">
        <v>1</v>
      </c>
      <c r="B3" s="4"/>
      <c r="D3" s="3" t="s">
        <v>178</v>
      </c>
      <c r="E3" s="2" t="s">
        <v>6</v>
      </c>
      <c r="F3" s="2" t="s">
        <v>7</v>
      </c>
    </row>
    <row r="4" spans="1:6">
      <c r="A4" s="1" t="s">
        <v>2</v>
      </c>
      <c r="B4" s="5">
        <f>SUM(B10:B13)</f>
        <v>0</v>
      </c>
      <c r="D4" s="3" t="s">
        <v>179</v>
      </c>
      <c r="E4" s="2" t="s">
        <v>8</v>
      </c>
      <c r="F4" s="6"/>
    </row>
    <row r="5" spans="1:6">
      <c r="A5" s="1" t="s">
        <v>3</v>
      </c>
      <c r="B5" s="5">
        <v>9</v>
      </c>
      <c r="D5" s="3" t="s">
        <v>180</v>
      </c>
      <c r="E5" s="2" t="s">
        <v>9</v>
      </c>
      <c r="F5" s="6">
        <v>10000000000000</v>
      </c>
    </row>
    <row r="6" spans="1:6">
      <c r="D6" s="3" t="s">
        <v>181</v>
      </c>
      <c r="E6" s="2" t="s">
        <v>10</v>
      </c>
      <c r="F6" s="6" t="s">
        <v>11</v>
      </c>
    </row>
    <row r="7" spans="1:6">
      <c r="D7" s="3" t="s">
        <v>182</v>
      </c>
      <c r="E7" s="2" t="s">
        <v>12</v>
      </c>
      <c r="F7" s="6" t="s">
        <v>13</v>
      </c>
    </row>
    <row r="8" spans="1:6">
      <c r="D8" s="3" t="s">
        <v>183</v>
      </c>
      <c r="E8" s="2" t="s">
        <v>14</v>
      </c>
      <c r="F8" s="6">
        <v>1</v>
      </c>
    </row>
    <row r="9" spans="1:6">
      <c r="A9" s="4" t="s">
        <v>47</v>
      </c>
      <c r="B9" s="4"/>
      <c r="D9" s="3" t="s">
        <v>184</v>
      </c>
      <c r="E9" s="2" t="s">
        <v>15</v>
      </c>
      <c r="F9" s="6" t="s">
        <v>16</v>
      </c>
    </row>
    <row r="10" spans="1:6">
      <c r="A10" s="1" t="s">
        <v>35</v>
      </c>
      <c r="B10" s="5">
        <f>COUNTIFS('Job Details'!F:F,"LOW",'Job Details'!D:D,"YES")</f>
        <v>0</v>
      </c>
      <c r="D10" s="3" t="s">
        <v>185</v>
      </c>
      <c r="E10" s="2" t="s">
        <v>17</v>
      </c>
      <c r="F10" s="6" t="s">
        <v>18</v>
      </c>
    </row>
    <row r="11" spans="1:6">
      <c r="A11" s="1" t="s">
        <v>48</v>
      </c>
      <c r="B11" s="5">
        <f>COUNTIFS('Job Details'!F:F,"MEDIUM",'Job Details'!D:D,"YES")</f>
        <v>0</v>
      </c>
      <c r="D11" s="3" t="s">
        <v>186</v>
      </c>
      <c r="E11" s="2" t="s">
        <v>19</v>
      </c>
    </row>
    <row r="12" spans="1:6">
      <c r="A12" s="1" t="s">
        <v>49</v>
      </c>
      <c r="B12" s="5">
        <f>COUNTIFS('Job Details'!F:F,"HIGH",'Job Details'!D:D,"YES")</f>
        <v>0</v>
      </c>
      <c r="D12" s="3" t="s">
        <v>187</v>
      </c>
      <c r="E12" s="6" t="s">
        <v>20</v>
      </c>
    </row>
    <row r="13" spans="1:6">
      <c r="A13" s="1" t="s">
        <v>50</v>
      </c>
      <c r="B13" s="5">
        <f>COUNTIFS('Job Details'!F:F,"VERY_HIGH",'Job Details'!D:D,"YES")</f>
        <v>0</v>
      </c>
      <c r="D13" s="3" t="s">
        <v>188</v>
      </c>
    </row>
    <row r="14" spans="1:6">
      <c r="D14" s="3" t="s">
        <v>189</v>
      </c>
    </row>
    <row r="15" spans="1:6">
      <c r="D15" s="3" t="s">
        <v>190</v>
      </c>
    </row>
    <row r="16" spans="1:6">
      <c r="D16" s="3" t="s">
        <v>191</v>
      </c>
    </row>
    <row r="17" spans="4:4">
      <c r="D17" s="3" t="s">
        <v>192</v>
      </c>
    </row>
    <row r="18" spans="4:4">
      <c r="D18" s="3" t="s">
        <v>193</v>
      </c>
    </row>
    <row r="19" spans="4:4">
      <c r="D19" s="3" t="s">
        <v>194</v>
      </c>
    </row>
    <row r="20" spans="4:4">
      <c r="D20" s="3" t="s">
        <v>195</v>
      </c>
    </row>
    <row r="21" spans="4:4">
      <c r="D21" s="3" t="s">
        <v>196</v>
      </c>
    </row>
    <row r="22" spans="4:4">
      <c r="D22" s="3" t="s">
        <v>197</v>
      </c>
    </row>
    <row r="23" spans="4:4">
      <c r="D23" s="3" t="s">
        <v>198</v>
      </c>
    </row>
    <row r="24" spans="4:4">
      <c r="D24" s="3" t="s">
        <v>199</v>
      </c>
    </row>
    <row r="25" spans="4:4">
      <c r="D25" s="3" t="s">
        <v>200</v>
      </c>
    </row>
    <row r="26" spans="4:4">
      <c r="D26" s="3" t="s">
        <v>201</v>
      </c>
    </row>
  </sheetData>
  <mergeCells count="5">
    <mergeCell ref="A1:B1"/>
    <mergeCell ref="A3:B3"/>
    <mergeCell ref="E1:F1"/>
    <mergeCell ref="E2:F2"/>
    <mergeCell ref="A9:B9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Functions'!A1" display="Functions"/>
    <hyperlink ref="D8" location="'Functions by Job'!A1" display="Functions by Job"/>
    <hyperlink ref="D9" location="'SQL Functions by Job'!A1" display="SQL Functions by Job"/>
    <hyperlink ref="D10" location="'Subject Areas'!A1" display="Subject Areas"/>
    <hyperlink ref="D11" location="'SQL Statements'!A1" display="SQL Statements"/>
    <hyperlink ref="D12" location="'Combined Checksums'!A1" display="Combined Checksums"/>
    <hyperlink ref="D13" location="'Transformation Expressions'!A1" display="Transformation Expressions"/>
    <hyperlink ref="D14" location="'Extended Script Information'!A1" display="Extended Script Information"/>
    <hyperlink ref="D15" location="'Packages'!A1" display="Packages"/>
    <hyperlink ref="D16" location="'Comments'!A1" display="Comments"/>
    <hyperlink ref="D17" location="'Embedded SQL Summary'!A1" display="Embedded SQL Summary"/>
    <hyperlink ref="D18" location="'Embedded SQL Programs'!A1" display="Embedded SQL Programs"/>
    <hyperlink ref="D19" location="'Embedded SQL Script Categories'!A1" display="Embedded SQL Script Categories"/>
    <hyperlink ref="D20" location="'Embedded SQL UNKNOWN Category'!A1" display="Embedded SQL UNKNOWN Category"/>
    <hyperlink ref="D21" location="'Embedded SQL Functions'!A1" display="Embedded SQL Functions"/>
    <hyperlink ref="D22" location="'Embedded SQL Func by Script'!A1" display="Embedded SQL Func by Script"/>
    <hyperlink ref="D23" location="'Embedded SQL Scripts Func Xref'!A1" display="Embedded SQL Scripts Func Xref"/>
    <hyperlink ref="D24" location="'Embedded SQL Referenced Objects'!A1" display="Embedded SQL Referenced Objects"/>
    <hyperlink ref="D25" location="'Embedded SQL Program-Obj Xref'!A1" display="Embedded SQL Program-Obj Xref"/>
    <hyperlink ref="D26" location="'RAW_PROGRAM_OBJECT_XREF'!A1" display="RAW_PROGRAM_OBJECT_XRE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0.7109375" customWidth="1"/>
    <col min="3" max="3" width="30.7109375" customWidth="1"/>
    <col min="4" max="4" width="10.7109375" customWidth="1"/>
    <col min="5" max="7" width="15.7109375" customWidth="1"/>
    <col min="8" max="8" width="75.7109375" customWidth="1"/>
    <col min="9" max="9" width="40.7109375" customWidth="1"/>
    <col min="10" max="11" width="15.7109375" customWidth="1"/>
  </cols>
  <sheetData>
    <row r="1" spans="1:1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</row>
    <row r="2" spans="1:13">
      <c r="A2" s="6" t="s">
        <v>33</v>
      </c>
      <c r="B2" s="6"/>
      <c r="C2" s="6" t="s">
        <v>33</v>
      </c>
      <c r="D2" s="6" t="s">
        <v>34</v>
      </c>
      <c r="E2" s="6" t="s">
        <v>18</v>
      </c>
      <c r="F2" s="6" t="s">
        <v>35</v>
      </c>
      <c r="G2" s="6">
        <v>8</v>
      </c>
      <c r="H2" s="6" t="s">
        <v>36</v>
      </c>
      <c r="I2" s="6" t="s">
        <v>37</v>
      </c>
      <c r="J2" s="6" t="s">
        <v>38</v>
      </c>
      <c r="K2" s="6"/>
      <c r="L2" s="6"/>
      <c r="M2" s="6"/>
    </row>
    <row r="3" spans="1:13">
      <c r="A3" s="6" t="s">
        <v>39</v>
      </c>
      <c r="B3" s="6"/>
      <c r="C3" s="6" t="s">
        <v>39</v>
      </c>
      <c r="D3" s="6" t="s">
        <v>34</v>
      </c>
      <c r="E3" s="6" t="s">
        <v>18</v>
      </c>
      <c r="F3" s="6" t="s">
        <v>35</v>
      </c>
      <c r="G3" s="6"/>
      <c r="H3" s="6" t="s">
        <v>40</v>
      </c>
      <c r="I3" s="6" t="s">
        <v>41</v>
      </c>
      <c r="J3" s="6" t="s">
        <v>42</v>
      </c>
      <c r="K3" s="6"/>
      <c r="L3" s="6"/>
      <c r="M3" s="6"/>
    </row>
    <row r="4" spans="1:13">
      <c r="A4" s="6" t="s">
        <v>43</v>
      </c>
      <c r="B4" s="6"/>
      <c r="C4" s="6" t="s">
        <v>43</v>
      </c>
      <c r="D4" s="6" t="s">
        <v>34</v>
      </c>
      <c r="E4" s="6" t="s">
        <v>18</v>
      </c>
      <c r="F4" s="6" t="s">
        <v>35</v>
      </c>
      <c r="G4" s="6">
        <v>1</v>
      </c>
      <c r="H4" s="6" t="s">
        <v>44</v>
      </c>
      <c r="I4" s="6" t="s">
        <v>45</v>
      </c>
      <c r="J4" s="6" t="s">
        <v>46</v>
      </c>
      <c r="K4" s="6"/>
      <c r="L4" s="6"/>
      <c r="M4" s="6"/>
    </row>
  </sheetData>
  <autoFilter ref="A1:L4"/>
  <conditionalFormatting sqref="A2:I9999">
    <cfRule type="expression" dxfId="0" priority="1">
      <formula>AND($A2 &lt;&gt; "", $D2 &lt;&gt; "YES")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" width="30.7109375" customWidth="1"/>
    <col min="2" max="4" width="15.7109375" customWidth="1"/>
    <col min="5" max="6" width="30.7109375" customWidth="1"/>
    <col min="10" max="11" width="0" customWidth="1"/>
    <col min="13" max="14" width="0" customWidth="1"/>
  </cols>
  <sheetData>
    <row r="1" spans="1:14">
      <c r="A1" s="2" t="s">
        <v>51</v>
      </c>
      <c r="B1" s="2" t="s">
        <v>52</v>
      </c>
      <c r="C1" s="2" t="s">
        <v>53</v>
      </c>
    </row>
    <row r="2" spans="1:14">
      <c r="A2" s="6" t="s">
        <v>54</v>
      </c>
      <c r="B2" s="6">
        <f>SUMIFS(INDIRECT("'Jobs Transformations Xref'!"&amp;K2&amp;":"&amp;K2),'Jobs Transformations Xref'!B:B,"YES")</f>
        <v>0</v>
      </c>
      <c r="C2" s="6">
        <f>COUNTIFS(INDIRECT("'Jobs Transformations Xref'!"&amp;K2&amp;":"&amp;K2),"&gt;=1",'Jobs Transformations Xref'!B:B,"YES")</f>
        <v>0</v>
      </c>
      <c r="J2" s="6">
        <f>MATCH(A2,'Jobs Transformations Xref'!$1:$1,0)</f>
        <v>0</v>
      </c>
      <c r="K2" s="6">
        <f>SUBSTITUTE( ADDRESS(1,J2,4),"1","")</f>
        <v>0</v>
      </c>
      <c r="M2" s="6">
        <v>5</v>
      </c>
      <c r="N2" s="6">
        <v>2</v>
      </c>
    </row>
    <row r="3" spans="1:14">
      <c r="A3" s="6" t="s">
        <v>55</v>
      </c>
      <c r="B3" s="6">
        <f>SUMIFS(INDIRECT("'Jobs Transformations Xref'!"&amp;K3&amp;":"&amp;K3),'Jobs Transformations Xref'!B:B,"YES")</f>
        <v>0</v>
      </c>
      <c r="C3" s="6">
        <f>COUNTIFS(INDIRECT("'Jobs Transformations Xref'!"&amp;K3&amp;":"&amp;K3),"&gt;=1",'Jobs Transformations Xref'!B:B,"YES")</f>
        <v>0</v>
      </c>
      <c r="J3" s="6">
        <f>MATCH(A3,'Jobs Transformations Xref'!$1:$1,0)</f>
        <v>0</v>
      </c>
      <c r="K3" s="6">
        <f>SUBSTITUTE( ADDRESS(1,J3,4),"1","")</f>
        <v>0</v>
      </c>
      <c r="M3" s="6">
        <v>3</v>
      </c>
      <c r="N3" s="6">
        <v>1</v>
      </c>
    </row>
    <row r="4" spans="1:14">
      <c r="A4" s="6" t="s">
        <v>56</v>
      </c>
      <c r="B4" s="6">
        <f>SUMIFS(INDIRECT("'Jobs Transformations Xref'!"&amp;K4&amp;":"&amp;K4),'Jobs Transformations Xref'!B:B,"YES")</f>
        <v>0</v>
      </c>
      <c r="C4" s="6">
        <f>COUNTIFS(INDIRECT("'Jobs Transformations Xref'!"&amp;K4&amp;":"&amp;K4),"&gt;=1",'Jobs Transformations Xref'!B:B,"YES")</f>
        <v>0</v>
      </c>
      <c r="J4" s="6">
        <f>MATCH(A4,'Jobs Transformations Xref'!$1:$1,0)</f>
        <v>0</v>
      </c>
      <c r="K4" s="6">
        <f>SUBSTITUTE( ADDRESS(1,J4,4),"1","")</f>
        <v>0</v>
      </c>
      <c r="M4" s="6">
        <v>1</v>
      </c>
      <c r="N4" s="6">
        <v>1</v>
      </c>
    </row>
  </sheetData>
  <autoFilter ref="A1:C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50.7109375" customWidth="1"/>
    <col min="2" max="6" width="6.7109375" customWidth="1"/>
    <col min="7" max="9" width="12.7109375" customWidth="1"/>
  </cols>
  <sheetData>
    <row r="1" spans="1:9">
      <c r="B1" s="2" t="s">
        <v>24</v>
      </c>
      <c r="C1" s="2" t="s">
        <v>25</v>
      </c>
      <c r="D1" s="2" t="s">
        <v>26</v>
      </c>
      <c r="E1" s="2" t="s">
        <v>27</v>
      </c>
      <c r="F1" s="2" t="s">
        <v>57</v>
      </c>
      <c r="G1" s="2" t="s">
        <v>55</v>
      </c>
      <c r="H1" s="2" t="s">
        <v>56</v>
      </c>
      <c r="I1" s="2" t="s">
        <v>54</v>
      </c>
    </row>
    <row r="2" spans="1:9">
      <c r="A2" s="2" t="s">
        <v>33</v>
      </c>
      <c r="B2" s="6">
        <f>'Job Details'!D2</f>
        <v>0</v>
      </c>
      <c r="C2" s="6">
        <f>'Job Details'!E2</f>
        <v>0</v>
      </c>
      <c r="D2" s="6">
        <f>'Job Details'!F2</f>
        <v>0</v>
      </c>
      <c r="E2" s="6">
        <f>'Job Details'!G2</f>
        <v>0</v>
      </c>
      <c r="G2" s="7">
        <v>3</v>
      </c>
      <c r="H2" s="7">
        <v>1</v>
      </c>
      <c r="I2" s="7">
        <v>4</v>
      </c>
    </row>
    <row r="3" spans="1:9">
      <c r="A3" s="2" t="s">
        <v>39</v>
      </c>
      <c r="B3" s="6">
        <f>'Job Details'!D3</f>
        <v>0</v>
      </c>
      <c r="C3" s="6">
        <f>'Job Details'!E3</f>
        <v>0</v>
      </c>
      <c r="D3" s="6">
        <f>'Job Details'!F3</f>
        <v>0</v>
      </c>
      <c r="E3" s="6">
        <f>'Job Details'!G3</f>
        <v>0</v>
      </c>
    </row>
    <row r="4" spans="1:9">
      <c r="A4" s="2" t="s">
        <v>43</v>
      </c>
      <c r="B4" s="6">
        <f>'Job Details'!D4</f>
        <v>0</v>
      </c>
      <c r="C4" s="6">
        <f>'Job Details'!E4</f>
        <v>0</v>
      </c>
      <c r="D4" s="6">
        <f>'Job Details'!F4</f>
        <v>0</v>
      </c>
      <c r="E4" s="6">
        <f>'Job Details'!G4</f>
        <v>0</v>
      </c>
      <c r="I4" s="7">
        <v>1</v>
      </c>
    </row>
  </sheetData>
  <autoFilter ref="A1:H4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50.7109375" customWidth="1"/>
  </cols>
  <sheetData>
    <row r="1" spans="1:3">
      <c r="A1" s="2" t="s">
        <v>58</v>
      </c>
      <c r="B1" s="2" t="s">
        <v>59</v>
      </c>
      <c r="C1" s="2" t="s">
        <v>60</v>
      </c>
    </row>
    <row r="2" spans="1:3">
      <c r="A2" s="6" t="s">
        <v>33</v>
      </c>
      <c r="B2" s="6" t="s">
        <v>55</v>
      </c>
      <c r="C2" s="6">
        <v>3</v>
      </c>
    </row>
    <row r="3" spans="1:3">
      <c r="A3" s="6" t="s">
        <v>33</v>
      </c>
      <c r="B3" s="6" t="s">
        <v>56</v>
      </c>
      <c r="C3" s="6">
        <v>1</v>
      </c>
    </row>
    <row r="4" spans="1:3">
      <c r="A4" s="6" t="s">
        <v>33</v>
      </c>
      <c r="B4" s="6" t="s">
        <v>54</v>
      </c>
      <c r="C4" s="6">
        <v>4</v>
      </c>
    </row>
    <row r="5" spans="1:3">
      <c r="A5" s="6" t="s">
        <v>43</v>
      </c>
      <c r="B5" s="6" t="s">
        <v>54</v>
      </c>
      <c r="C5" s="6">
        <v>1</v>
      </c>
    </row>
  </sheetData>
  <autoFilter ref="A1:C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61</v>
      </c>
      <c r="B1" s="2" t="s">
        <v>62</v>
      </c>
    </row>
    <row r="2" spans="1:2">
      <c r="A2" s="6" t="s">
        <v>63</v>
      </c>
      <c r="B2" s="6">
        <v>9</v>
      </c>
    </row>
    <row r="3" spans="1:2">
      <c r="A3" s="6" t="s">
        <v>64</v>
      </c>
      <c r="B3" s="6">
        <v>7</v>
      </c>
    </row>
    <row r="4" spans="1:2">
      <c r="A4" s="6" t="s">
        <v>65</v>
      </c>
      <c r="B4" s="6">
        <v>6</v>
      </c>
    </row>
    <row r="5" spans="1:2">
      <c r="A5" s="6" t="s">
        <v>66</v>
      </c>
      <c r="B5" s="6">
        <v>6</v>
      </c>
    </row>
    <row r="6" spans="1:2">
      <c r="A6" s="6" t="s">
        <v>67</v>
      </c>
      <c r="B6" s="6">
        <v>5</v>
      </c>
    </row>
    <row r="7" spans="1:2">
      <c r="A7" s="6" t="s">
        <v>68</v>
      </c>
      <c r="B7" s="6">
        <v>3</v>
      </c>
    </row>
    <row r="8" spans="1:2">
      <c r="A8" s="6" t="s">
        <v>69</v>
      </c>
      <c r="B8" s="6">
        <v>3</v>
      </c>
    </row>
    <row r="9" spans="1:2">
      <c r="A9" s="6" t="s">
        <v>70</v>
      </c>
      <c r="B9" s="6">
        <v>3</v>
      </c>
    </row>
    <row r="10" spans="1:2">
      <c r="A10" s="6" t="s">
        <v>71</v>
      </c>
      <c r="B10" s="6">
        <v>3</v>
      </c>
    </row>
    <row r="11" spans="1:2">
      <c r="A11" s="6" t="s">
        <v>72</v>
      </c>
      <c r="B11" s="6">
        <v>3</v>
      </c>
    </row>
    <row r="12" spans="1:2">
      <c r="A12" s="6" t="s">
        <v>73</v>
      </c>
      <c r="B12" s="6">
        <v>3</v>
      </c>
    </row>
    <row r="13" spans="1:2">
      <c r="A13" s="6" t="s">
        <v>74</v>
      </c>
      <c r="B13" s="6">
        <v>3</v>
      </c>
    </row>
    <row r="14" spans="1:2">
      <c r="A14" s="6" t="s">
        <v>75</v>
      </c>
      <c r="B14" s="6">
        <v>2</v>
      </c>
    </row>
    <row r="15" spans="1:2">
      <c r="A15" s="6" t="s">
        <v>76</v>
      </c>
      <c r="B15" s="6">
        <v>1</v>
      </c>
    </row>
    <row r="16" spans="1:2">
      <c r="A16" s="6" t="s">
        <v>77</v>
      </c>
      <c r="B16" s="6">
        <v>1</v>
      </c>
    </row>
    <row r="17" spans="1:2">
      <c r="A17" s="6" t="s">
        <v>78</v>
      </c>
      <c r="B17" s="6">
        <v>1</v>
      </c>
    </row>
    <row r="18" spans="1:2">
      <c r="A18" s="6" t="s">
        <v>79</v>
      </c>
      <c r="B18" s="6">
        <v>1</v>
      </c>
    </row>
    <row r="19" spans="1:2">
      <c r="A19" s="6" t="s">
        <v>80</v>
      </c>
      <c r="B19" s="6">
        <v>1</v>
      </c>
    </row>
    <row r="20" spans="1:2">
      <c r="A20" s="6" t="s">
        <v>81</v>
      </c>
      <c r="B20" s="6">
        <v>1</v>
      </c>
    </row>
    <row r="21" spans="1:2">
      <c r="A21" s="6" t="s">
        <v>82</v>
      </c>
      <c r="B21" s="6">
        <v>1</v>
      </c>
    </row>
    <row r="22" spans="1:2">
      <c r="A22" s="6" t="s">
        <v>83</v>
      </c>
      <c r="B22" s="6">
        <v>1</v>
      </c>
    </row>
    <row r="23" spans="1:2">
      <c r="A23" s="6" t="s">
        <v>84</v>
      </c>
      <c r="B23" s="6">
        <v>1</v>
      </c>
    </row>
  </sheetData>
  <autoFilter ref="A1:B2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58</v>
      </c>
      <c r="B1" s="2" t="s">
        <v>61</v>
      </c>
      <c r="C1" s="2" t="s">
        <v>62</v>
      </c>
    </row>
    <row r="2" spans="1:3">
      <c r="A2" s="6" t="s">
        <v>33</v>
      </c>
      <c r="B2" s="6" t="s">
        <v>64</v>
      </c>
      <c r="C2" s="6">
        <v>6</v>
      </c>
    </row>
    <row r="3" spans="1:3">
      <c r="A3" s="6" t="s">
        <v>33</v>
      </c>
      <c r="B3" s="6" t="s">
        <v>63</v>
      </c>
      <c r="C3" s="6">
        <v>5</v>
      </c>
    </row>
    <row r="4" spans="1:3">
      <c r="A4" s="6" t="s">
        <v>33</v>
      </c>
      <c r="B4" s="6" t="s">
        <v>67</v>
      </c>
      <c r="C4" s="6">
        <v>5</v>
      </c>
    </row>
    <row r="5" spans="1:3">
      <c r="A5" s="6" t="s">
        <v>33</v>
      </c>
      <c r="B5" s="6" t="s">
        <v>72</v>
      </c>
      <c r="C5" s="6">
        <v>3</v>
      </c>
    </row>
    <row r="6" spans="1:3">
      <c r="A6" s="6" t="s">
        <v>33</v>
      </c>
      <c r="B6" s="6" t="s">
        <v>77</v>
      </c>
      <c r="C6" s="6">
        <v>1</v>
      </c>
    </row>
    <row r="7" spans="1:3">
      <c r="A7" s="6" t="s">
        <v>33</v>
      </c>
      <c r="B7" s="6" t="s">
        <v>80</v>
      </c>
      <c r="C7" s="6">
        <v>1</v>
      </c>
    </row>
    <row r="8" spans="1:3">
      <c r="A8" s="6" t="s">
        <v>33</v>
      </c>
      <c r="B8" s="6" t="s">
        <v>76</v>
      </c>
      <c r="C8" s="6">
        <v>1</v>
      </c>
    </row>
    <row r="9" spans="1:3">
      <c r="A9" s="6" t="s">
        <v>33</v>
      </c>
      <c r="B9" s="6" t="s">
        <v>66</v>
      </c>
      <c r="C9" s="6">
        <v>1</v>
      </c>
    </row>
    <row r="10" spans="1:3">
      <c r="A10" s="6" t="s">
        <v>33</v>
      </c>
      <c r="B10" s="6" t="s">
        <v>69</v>
      </c>
      <c r="C10" s="6">
        <v>1</v>
      </c>
    </row>
    <row r="11" spans="1:3">
      <c r="A11" s="6" t="s">
        <v>33</v>
      </c>
      <c r="B11" s="6" t="s">
        <v>73</v>
      </c>
      <c r="C11" s="6">
        <v>1</v>
      </c>
    </row>
    <row r="12" spans="1:3">
      <c r="A12" s="6" t="s">
        <v>33</v>
      </c>
      <c r="B12" s="6" t="s">
        <v>71</v>
      </c>
      <c r="C12" s="6">
        <v>1</v>
      </c>
    </row>
    <row r="13" spans="1:3">
      <c r="A13" s="6" t="s">
        <v>33</v>
      </c>
      <c r="B13" s="6" t="s">
        <v>83</v>
      </c>
      <c r="C13" s="6">
        <v>1</v>
      </c>
    </row>
    <row r="14" spans="1:3">
      <c r="A14" s="6" t="s">
        <v>39</v>
      </c>
      <c r="B14" s="6" t="s">
        <v>65</v>
      </c>
      <c r="C14" s="6">
        <v>6</v>
      </c>
    </row>
    <row r="15" spans="1:3">
      <c r="A15" s="6" t="s">
        <v>39</v>
      </c>
      <c r="B15" s="6" t="s">
        <v>66</v>
      </c>
      <c r="C15" s="6">
        <v>4</v>
      </c>
    </row>
    <row r="16" spans="1:3">
      <c r="A16" s="6" t="s">
        <v>39</v>
      </c>
      <c r="B16" s="6" t="s">
        <v>74</v>
      </c>
      <c r="C16" s="6">
        <v>3</v>
      </c>
    </row>
    <row r="17" spans="1:3">
      <c r="A17" s="6" t="s">
        <v>39</v>
      </c>
      <c r="B17" s="6" t="s">
        <v>63</v>
      </c>
      <c r="C17" s="6">
        <v>3</v>
      </c>
    </row>
    <row r="18" spans="1:3">
      <c r="A18" s="6" t="s">
        <v>39</v>
      </c>
      <c r="B18" s="6" t="s">
        <v>68</v>
      </c>
      <c r="C18" s="6">
        <v>3</v>
      </c>
    </row>
    <row r="19" spans="1:3">
      <c r="A19" s="6" t="s">
        <v>39</v>
      </c>
      <c r="B19" s="6" t="s">
        <v>84</v>
      </c>
      <c r="C19" s="6">
        <v>1</v>
      </c>
    </row>
    <row r="20" spans="1:3">
      <c r="A20" s="6" t="s">
        <v>39</v>
      </c>
      <c r="B20" s="6" t="s">
        <v>82</v>
      </c>
      <c r="C20" s="6">
        <v>1</v>
      </c>
    </row>
    <row r="21" spans="1:3">
      <c r="A21" s="6" t="s">
        <v>39</v>
      </c>
      <c r="B21" s="6" t="s">
        <v>73</v>
      </c>
      <c r="C21" s="6">
        <v>1</v>
      </c>
    </row>
    <row r="22" spans="1:3">
      <c r="A22" s="6" t="s">
        <v>39</v>
      </c>
      <c r="B22" s="6" t="s">
        <v>71</v>
      </c>
      <c r="C22" s="6">
        <v>1</v>
      </c>
    </row>
    <row r="23" spans="1:3">
      <c r="A23" s="6" t="s">
        <v>39</v>
      </c>
      <c r="B23" s="6" t="s">
        <v>79</v>
      </c>
      <c r="C23" s="6">
        <v>1</v>
      </c>
    </row>
    <row r="24" spans="1:3">
      <c r="A24" s="6" t="s">
        <v>39</v>
      </c>
      <c r="B24" s="6" t="s">
        <v>78</v>
      </c>
      <c r="C24" s="6">
        <v>1</v>
      </c>
    </row>
    <row r="25" spans="1:3">
      <c r="A25" s="6" t="s">
        <v>39</v>
      </c>
      <c r="B25" s="6" t="s">
        <v>69</v>
      </c>
      <c r="C25" s="6">
        <v>1</v>
      </c>
    </row>
    <row r="26" spans="1:3">
      <c r="A26" s="6" t="s">
        <v>39</v>
      </c>
      <c r="B26" s="6" t="s">
        <v>64</v>
      </c>
      <c r="C26" s="6">
        <v>1</v>
      </c>
    </row>
    <row r="27" spans="1:3">
      <c r="A27" s="6" t="s">
        <v>43</v>
      </c>
      <c r="B27" s="6" t="s">
        <v>70</v>
      </c>
      <c r="C27" s="6">
        <v>3</v>
      </c>
    </row>
    <row r="28" spans="1:3">
      <c r="A28" s="6" t="s">
        <v>43</v>
      </c>
      <c r="B28" s="6" t="s">
        <v>75</v>
      </c>
      <c r="C28" s="6">
        <v>2</v>
      </c>
    </row>
    <row r="29" spans="1:3">
      <c r="A29" s="6" t="s">
        <v>43</v>
      </c>
      <c r="B29" s="6" t="s">
        <v>71</v>
      </c>
      <c r="C29" s="6">
        <v>1</v>
      </c>
    </row>
    <row r="30" spans="1:3">
      <c r="A30" s="6" t="s">
        <v>43</v>
      </c>
      <c r="B30" s="6" t="s">
        <v>73</v>
      </c>
      <c r="C30" s="6">
        <v>1</v>
      </c>
    </row>
    <row r="31" spans="1:3">
      <c r="A31" s="6" t="s">
        <v>43</v>
      </c>
      <c r="B31" s="6" t="s">
        <v>63</v>
      </c>
      <c r="C31" s="6">
        <v>1</v>
      </c>
    </row>
    <row r="32" spans="1:3">
      <c r="A32" s="6" t="s">
        <v>43</v>
      </c>
      <c r="B32" s="6" t="s">
        <v>69</v>
      </c>
      <c r="C32" s="6">
        <v>1</v>
      </c>
    </row>
    <row r="33" spans="1:3">
      <c r="A33" s="6" t="s">
        <v>43</v>
      </c>
      <c r="B33" s="6" t="s">
        <v>66</v>
      </c>
      <c r="C33" s="6">
        <v>1</v>
      </c>
    </row>
    <row r="34" spans="1:3">
      <c r="A34" s="6" t="s">
        <v>43</v>
      </c>
      <c r="B34" s="6" t="s">
        <v>81</v>
      </c>
      <c r="C34" s="6">
        <v>1</v>
      </c>
    </row>
  </sheetData>
  <autoFilter ref="A1:C3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58</v>
      </c>
      <c r="B1" s="2" t="s">
        <v>61</v>
      </c>
      <c r="C1" s="2" t="s">
        <v>62</v>
      </c>
    </row>
    <row r="2" spans="1:3">
      <c r="A2" s="6" t="s">
        <v>39</v>
      </c>
      <c r="B2" s="6" t="s">
        <v>85</v>
      </c>
      <c r="C2" s="6">
        <v>1</v>
      </c>
    </row>
    <row r="3" spans="1:3">
      <c r="A3" s="6" t="s">
        <v>39</v>
      </c>
      <c r="B3" s="6" t="s">
        <v>86</v>
      </c>
      <c r="C3" s="6">
        <v>1</v>
      </c>
    </row>
    <row r="4" spans="1:3">
      <c r="A4" s="6" t="s">
        <v>39</v>
      </c>
      <c r="B4" s="6" t="s">
        <v>87</v>
      </c>
      <c r="C4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2" width="30.7109375" customWidth="1"/>
    <col min="3" max="3" width="80.7109375" customWidth="1"/>
  </cols>
  <sheetData>
    <row r="1" spans="1:3">
      <c r="A1" s="2" t="s">
        <v>88</v>
      </c>
      <c r="B1" s="2" t="s">
        <v>89</v>
      </c>
      <c r="C1" s="2" t="s">
        <v>90</v>
      </c>
    </row>
  </sheetData>
  <autoFilter ref="A1:C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6" width="100.7109375" customWidth="1"/>
  </cols>
  <sheetData>
    <row r="1" spans="1:6">
      <c r="A1" s="2" t="s">
        <v>91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</row>
    <row r="2" spans="1:6">
      <c r="A2" s="6" t="s">
        <v>39</v>
      </c>
      <c r="B2" s="6" t="s">
        <v>97</v>
      </c>
      <c r="C2" s="6" t="s">
        <v>35</v>
      </c>
      <c r="D2" s="6" t="s">
        <v>98</v>
      </c>
      <c r="E2" s="6">
        <v>75</v>
      </c>
      <c r="F2" s="6" t="s">
        <v>99</v>
      </c>
    </row>
  </sheetData>
  <autoFilter ref="A1:F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50.7109375" customWidth="1"/>
    <col min="2" max="2" width="30.7109375" customWidth="1"/>
    <col min="4" max="4" width="100.7109375" customWidth="1"/>
  </cols>
  <sheetData>
    <row r="1" spans="1:3">
      <c r="A1" s="2" t="s">
        <v>100</v>
      </c>
      <c r="B1" s="2" t="s">
        <v>101</v>
      </c>
      <c r="C1" s="2" t="s">
        <v>102</v>
      </c>
    </row>
    <row r="2" spans="1:3">
      <c r="A2" s="6" t="s">
        <v>33</v>
      </c>
      <c r="B2" s="6" t="s">
        <v>103</v>
      </c>
      <c r="C2" s="6" t="s">
        <v>38</v>
      </c>
    </row>
    <row r="3" spans="1:3">
      <c r="A3" s="6" t="s">
        <v>39</v>
      </c>
      <c r="B3" s="6" t="s">
        <v>103</v>
      </c>
      <c r="C3" s="6" t="s">
        <v>42</v>
      </c>
    </row>
    <row r="4" spans="1:3">
      <c r="A4" s="6" t="s">
        <v>104</v>
      </c>
      <c r="B4" s="6" t="s">
        <v>96</v>
      </c>
      <c r="C4" s="6" t="s">
        <v>105</v>
      </c>
    </row>
    <row r="5" spans="1:3">
      <c r="A5" s="6" t="s">
        <v>43</v>
      </c>
      <c r="B5" s="6" t="s">
        <v>103</v>
      </c>
      <c r="C5" s="6" t="s">
        <v>46</v>
      </c>
    </row>
  </sheetData>
  <autoFilter ref="A1:C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50.7109375" customWidth="1"/>
    <col min="4" max="4" width="100.7109375" customWidth="1"/>
  </cols>
  <sheetData>
    <row r="1" spans="1:4">
      <c r="A1" s="2" t="s">
        <v>58</v>
      </c>
      <c r="B1" s="2" t="s">
        <v>59</v>
      </c>
      <c r="C1" s="2" t="s">
        <v>106</v>
      </c>
      <c r="D1" s="2" t="s">
        <v>107</v>
      </c>
    </row>
  </sheetData>
  <autoFilter ref="A1:D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50.7109375" customWidth="1"/>
    <col min="2" max="4" width="20.7109375" customWidth="1"/>
  </cols>
  <sheetData>
    <row r="1" spans="1:4">
      <c r="A1" s="2" t="s">
        <v>108</v>
      </c>
      <c r="B1" s="2" t="s">
        <v>109</v>
      </c>
      <c r="C1" s="2" t="s">
        <v>110</v>
      </c>
      <c r="D1" s="2" t="s">
        <v>111</v>
      </c>
    </row>
    <row r="2" spans="1:4">
      <c r="A2" s="6" t="s">
        <v>43</v>
      </c>
      <c r="B2" s="6">
        <v>31</v>
      </c>
      <c r="C2" s="6">
        <v>4</v>
      </c>
      <c r="D2" s="6">
        <v>7</v>
      </c>
    </row>
    <row r="3" spans="1:4">
      <c r="A3" s="6" t="s">
        <v>39</v>
      </c>
      <c r="B3" s="6">
        <v>40</v>
      </c>
      <c r="C3" s="6">
        <v>6</v>
      </c>
      <c r="D3" s="6">
        <v>8</v>
      </c>
    </row>
    <row r="4" spans="1:4">
      <c r="A4" s="6" t="s">
        <v>33</v>
      </c>
      <c r="B4" s="6">
        <v>45</v>
      </c>
      <c r="C4" s="6">
        <v>4</v>
      </c>
      <c r="D4" s="6">
        <v>10</v>
      </c>
    </row>
  </sheetData>
  <autoFilter ref="A1:D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50.7109375" customWidth="1"/>
    <col min="2" max="2" width="100.7109375" customWidth="1"/>
  </cols>
  <sheetData>
    <row r="1" spans="1:2">
      <c r="A1" s="2" t="s">
        <v>112</v>
      </c>
      <c r="B1" s="2" t="s">
        <v>113</v>
      </c>
    </row>
    <row r="2" spans="1:2">
      <c r="A2" s="6" t="s">
        <v>33</v>
      </c>
      <c r="B2" s="6" t="s">
        <v>114</v>
      </c>
    </row>
    <row r="3" spans="1:2">
      <c r="A3" s="6" t="s">
        <v>33</v>
      </c>
      <c r="B3" s="6" t="s">
        <v>115</v>
      </c>
    </row>
    <row r="4" spans="1:2">
      <c r="A4" s="6" t="s">
        <v>33</v>
      </c>
      <c r="B4" s="6" t="s">
        <v>116</v>
      </c>
    </row>
    <row r="5" spans="1:2">
      <c r="A5" s="6" t="s">
        <v>33</v>
      </c>
      <c r="B5" s="6" t="s">
        <v>117</v>
      </c>
    </row>
    <row r="6" spans="1:2">
      <c r="A6" s="6" t="s">
        <v>33</v>
      </c>
      <c r="B6" s="6" t="s">
        <v>118</v>
      </c>
    </row>
    <row r="7" spans="1:2">
      <c r="A7" s="6" t="s">
        <v>33</v>
      </c>
      <c r="B7" s="6" t="s">
        <v>119</v>
      </c>
    </row>
    <row r="8" spans="1:2">
      <c r="A8" s="6" t="s">
        <v>39</v>
      </c>
      <c r="B8" s="6" t="s">
        <v>120</v>
      </c>
    </row>
    <row r="9" spans="1:2">
      <c r="A9" s="6" t="s">
        <v>39</v>
      </c>
      <c r="B9" s="6" t="s">
        <v>121</v>
      </c>
    </row>
    <row r="10" spans="1:2">
      <c r="A10" s="6" t="s">
        <v>39</v>
      </c>
      <c r="B10" s="6" t="s">
        <v>122</v>
      </c>
    </row>
  </sheetData>
  <autoFilter ref="A1:B10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2" width="100.7109375" customWidth="1"/>
    <col min="3" max="3" width="30.7109375" customWidth="1"/>
  </cols>
  <sheetData>
    <row r="1" spans="1:3">
      <c r="A1" s="2" t="s">
        <v>112</v>
      </c>
      <c r="B1" s="2" t="s">
        <v>123</v>
      </c>
      <c r="C1" s="2" t="s">
        <v>124</v>
      </c>
    </row>
    <row r="2" spans="1:3">
      <c r="A2" s="6" t="s">
        <v>33</v>
      </c>
      <c r="B2" s="6" t="s">
        <v>125</v>
      </c>
      <c r="C2" s="6" t="s">
        <v>126</v>
      </c>
    </row>
    <row r="3" spans="1:3">
      <c r="A3" s="6" t="s">
        <v>33</v>
      </c>
      <c r="B3" s="6" t="s">
        <v>127</v>
      </c>
      <c r="C3" s="6" t="s">
        <v>128</v>
      </c>
    </row>
  </sheetData>
  <autoFilter ref="A1:C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176</v>
      </c>
      <c r="E1" s="2" t="s">
        <v>4</v>
      </c>
      <c r="F1" s="2"/>
    </row>
    <row r="2" spans="1:6">
      <c r="D2" s="3" t="s">
        <v>177</v>
      </c>
      <c r="E2" s="2" t="s">
        <v>5</v>
      </c>
      <c r="F2" s="2"/>
    </row>
    <row r="3" spans="1:6">
      <c r="A3" s="4" t="s">
        <v>1</v>
      </c>
      <c r="B3" s="4"/>
      <c r="D3" s="3" t="s">
        <v>178</v>
      </c>
      <c r="E3" s="2" t="s">
        <v>6</v>
      </c>
      <c r="F3" s="2" t="s">
        <v>7</v>
      </c>
    </row>
    <row r="4" spans="1:6">
      <c r="A4" s="1" t="s">
        <v>129</v>
      </c>
      <c r="B4" s="5">
        <v>1</v>
      </c>
      <c r="D4" s="3" t="s">
        <v>179</v>
      </c>
      <c r="E4" s="2" t="s">
        <v>8</v>
      </c>
      <c r="F4" s="6"/>
    </row>
    <row r="5" spans="1:6">
      <c r="A5" s="1" t="s">
        <v>130</v>
      </c>
      <c r="B5" s="5">
        <v>1</v>
      </c>
      <c r="D5" s="3" t="s">
        <v>180</v>
      </c>
      <c r="E5" s="2" t="s">
        <v>9</v>
      </c>
      <c r="F5" s="6">
        <v>10000000000000</v>
      </c>
    </row>
    <row r="6" spans="1:6">
      <c r="A6" s="1" t="s">
        <v>131</v>
      </c>
      <c r="B6" s="5">
        <v>0</v>
      </c>
      <c r="D6" s="3" t="s">
        <v>181</v>
      </c>
      <c r="E6" s="2" t="s">
        <v>10</v>
      </c>
      <c r="F6" s="6" t="s">
        <v>11</v>
      </c>
    </row>
    <row r="7" spans="1:6">
      <c r="A7" s="1" t="s">
        <v>132</v>
      </c>
      <c r="B7" s="5">
        <v>0</v>
      </c>
      <c r="D7" s="3" t="s">
        <v>182</v>
      </c>
      <c r="E7" s="2" t="s">
        <v>12</v>
      </c>
      <c r="F7" s="6" t="s">
        <v>13</v>
      </c>
    </row>
    <row r="8" spans="1:6">
      <c r="A8" s="1" t="s">
        <v>133</v>
      </c>
      <c r="B8" s="5">
        <v>0</v>
      </c>
      <c r="D8" s="3" t="s">
        <v>183</v>
      </c>
      <c r="E8" s="2" t="s">
        <v>14</v>
      </c>
      <c r="F8" s="6">
        <v>1</v>
      </c>
    </row>
    <row r="9" spans="1:6">
      <c r="A9" s="1" t="s">
        <v>134</v>
      </c>
      <c r="B9" s="5">
        <v>0</v>
      </c>
      <c r="D9" s="3" t="s">
        <v>184</v>
      </c>
      <c r="E9" s="2" t="s">
        <v>15</v>
      </c>
      <c r="F9" s="6" t="s">
        <v>16</v>
      </c>
    </row>
    <row r="10" spans="1:6">
      <c r="A10" s="1" t="s">
        <v>135</v>
      </c>
      <c r="B10" s="5">
        <v>0</v>
      </c>
      <c r="D10" s="3" t="s">
        <v>185</v>
      </c>
      <c r="E10" s="2" t="s">
        <v>17</v>
      </c>
      <c r="F10" s="6" t="s">
        <v>18</v>
      </c>
    </row>
    <row r="11" spans="1:6">
      <c r="A11" s="1" t="s">
        <v>136</v>
      </c>
      <c r="B11" s="5">
        <v>0</v>
      </c>
      <c r="D11" s="3" t="s">
        <v>186</v>
      </c>
      <c r="E11" s="2" t="s">
        <v>19</v>
      </c>
    </row>
    <row r="12" spans="1:6">
      <c r="A12" s="1" t="s">
        <v>137</v>
      </c>
      <c r="B12" s="5">
        <v>0</v>
      </c>
      <c r="D12" s="3" t="s">
        <v>187</v>
      </c>
      <c r="E12" s="6" t="s">
        <v>148</v>
      </c>
    </row>
    <row r="13" spans="1:6">
      <c r="A13" s="1" t="s">
        <v>138</v>
      </c>
      <c r="B13" s="5">
        <v>0</v>
      </c>
      <c r="D13" s="3" t="s">
        <v>188</v>
      </c>
    </row>
    <row r="14" spans="1:6">
      <c r="A14" s="1" t="s">
        <v>139</v>
      </c>
      <c r="B14" s="5">
        <v>0</v>
      </c>
      <c r="D14" s="3" t="s">
        <v>189</v>
      </c>
    </row>
    <row r="15" spans="1:6">
      <c r="A15" s="1" t="s">
        <v>140</v>
      </c>
      <c r="B15" s="5">
        <v>0</v>
      </c>
      <c r="D15" s="3" t="s">
        <v>190</v>
      </c>
    </row>
    <row r="16" spans="1:6">
      <c r="A16" s="1" t="s">
        <v>141</v>
      </c>
      <c r="B16" s="5">
        <v>0</v>
      </c>
      <c r="D16" s="3" t="s">
        <v>191</v>
      </c>
    </row>
    <row r="17" spans="1:4">
      <c r="A17" s="1" t="s">
        <v>142</v>
      </c>
      <c r="B17" s="5">
        <v>0</v>
      </c>
      <c r="D17" s="3" t="s">
        <v>192</v>
      </c>
    </row>
    <row r="18" spans="1:4">
      <c r="A18" s="1" t="s">
        <v>143</v>
      </c>
      <c r="B18" s="5">
        <v>0</v>
      </c>
      <c r="D18" s="3" t="s">
        <v>193</v>
      </c>
    </row>
    <row r="19" spans="1:4">
      <c r="A19" s="1" t="s">
        <v>144</v>
      </c>
      <c r="B19" s="5">
        <v>0</v>
      </c>
      <c r="D19" s="3" t="s">
        <v>194</v>
      </c>
    </row>
    <row r="20" spans="1:4">
      <c r="A20" s="1" t="s">
        <v>145</v>
      </c>
      <c r="B20" s="5">
        <v>0</v>
      </c>
      <c r="D20" s="3" t="s">
        <v>195</v>
      </c>
    </row>
    <row r="21" spans="1:4">
      <c r="A21" s="1" t="s">
        <v>146</v>
      </c>
      <c r="B21" s="5">
        <v>1</v>
      </c>
      <c r="D21" s="3" t="s">
        <v>196</v>
      </c>
    </row>
    <row r="22" spans="1:4">
      <c r="A22" s="1" t="s">
        <v>147</v>
      </c>
      <c r="B22" s="5">
        <v>0</v>
      </c>
      <c r="D22" s="3" t="s">
        <v>197</v>
      </c>
    </row>
    <row r="23" spans="1:4">
      <c r="D23" s="3" t="s">
        <v>198</v>
      </c>
    </row>
    <row r="24" spans="1:4">
      <c r="A24" s="4" t="s">
        <v>96</v>
      </c>
      <c r="B24" s="4"/>
      <c r="C24" s="4" t="s">
        <v>103</v>
      </c>
      <c r="D24" s="3" t="s">
        <v>199</v>
      </c>
    </row>
    <row r="25" spans="1:4">
      <c r="A25" s="4" t="s">
        <v>47</v>
      </c>
      <c r="B25" s="4"/>
      <c r="C25" s="4" t="s">
        <v>162</v>
      </c>
      <c r="D25" s="3" t="s">
        <v>200</v>
      </c>
    </row>
    <row r="26" spans="1:4">
      <c r="A26" s="1" t="s">
        <v>35</v>
      </c>
      <c r="B26" s="5">
        <f>COUNTIFS('Embedded SQL Programs'!E:E,"LOW",'Embedded SQL Programs'!C:C,"YES",'Embedded SQL Programs'!L:L,"SQL")</f>
        <v>0</v>
      </c>
      <c r="C26" s="5">
        <f>SUMIFS('Embedded SQL Programs'!G:G,'Embedded SQL Programs'!E:E,"LOW",'Embedded SQL Programs'!C:C,"YES",'Embedded SQL Programs'!L:L,"ETL")</f>
        <v>0</v>
      </c>
      <c r="D26" s="3" t="s">
        <v>201</v>
      </c>
    </row>
    <row r="27" spans="1:4">
      <c r="A27" s="1" t="s">
        <v>48</v>
      </c>
      <c r="B27" s="5">
        <f>COUNTIFS('Embedded SQL Programs'!E:E,"MEDIUM",'Embedded SQL Programs'!C:C,"YES",'Embedded SQL Programs'!L:L,"SQL")</f>
        <v>0</v>
      </c>
      <c r="C27" s="5">
        <f>SUMIFS('Embedded SQL Programs'!G:G,'Embedded SQL Programs'!E:E,"MEDIUM",'Embedded SQL Programs'!C:C,"YES",'Embedded SQL Programs'!L:L,"ETL")</f>
        <v>0</v>
      </c>
    </row>
    <row r="28" spans="1:4">
      <c r="A28" s="1" t="s">
        <v>49</v>
      </c>
      <c r="B28" s="5">
        <f>COUNTIFS('Embedded SQL Programs'!E:E,"HIGH",'Embedded SQL Programs'!C:C,"YES",'Embedded SQL Programs'!L:L,"SQL")</f>
        <v>0</v>
      </c>
      <c r="C28" s="5">
        <f>SUMIFS('Embedded SQL Programs'!G:G,'Embedded SQL Programs'!E:E,"HIGH",'Embedded SQL Programs'!C:C,"YES",'Embedded SQL Programs'!L:L,"ETL")</f>
        <v>0</v>
      </c>
    </row>
    <row r="29" spans="1:4">
      <c r="A29" s="1" t="s">
        <v>50</v>
      </c>
      <c r="B29" s="5">
        <f>COUNTIFS('Embedded SQL Programs'!E:E,"VERY_HIGH",'Embedded SQL Programs'!C:C,"YES",'Embedded SQL Programs'!L:L,"SQL")</f>
        <v>0</v>
      </c>
      <c r="C29" s="5">
        <f>SUMIFS('Embedded SQL Programs'!G:G,'Embedded SQL Programs'!E:E,"VERY_HIGH",'Embedded SQL Programs'!C:C,"YES",'Embedded 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Functions'!A1" display="Functions"/>
    <hyperlink ref="D8" location="'Functions by Job'!A1" display="Functions by Job"/>
    <hyperlink ref="D9" location="'SQL Functions by Job'!A1" display="SQL Functions by Job"/>
    <hyperlink ref="D10" location="'Subject Areas'!A1" display="Subject Areas"/>
    <hyperlink ref="D11" location="'SQL Statements'!A1" display="SQL Statements"/>
    <hyperlink ref="D12" location="'Combined Checksums'!A1" display="Combined Checksums"/>
    <hyperlink ref="D13" location="'Transformation Expressions'!A1" display="Transformation Expressions"/>
    <hyperlink ref="D14" location="'Extended Script Information'!A1" display="Extended Script Information"/>
    <hyperlink ref="D15" location="'Packages'!A1" display="Packages"/>
    <hyperlink ref="D16" location="'Comments'!A1" display="Comments"/>
    <hyperlink ref="D17" location="'Embedded SQL Summary'!A1" display="Embedded SQL Summary"/>
    <hyperlink ref="D18" location="'Embedded SQL Programs'!A1" display="Embedded SQL Programs"/>
    <hyperlink ref="D19" location="'Embedded SQL Script Categories'!A1" display="Embedded SQL Script Categories"/>
    <hyperlink ref="D20" location="'Embedded SQL UNKNOWN Category'!A1" display="Embedded SQL UNKNOWN Category"/>
    <hyperlink ref="D21" location="'Embedded SQL Functions'!A1" display="Embedded SQL Functions"/>
    <hyperlink ref="D22" location="'Embedded SQL Func by Script'!A1" display="Embedded SQL Func by Script"/>
    <hyperlink ref="D23" location="'Embedded SQL Scripts Func Xref'!A1" display="Embedded SQL Scripts Func Xref"/>
    <hyperlink ref="D24" location="'Embedded SQL Referenced Objects'!A1" display="Embedded SQL Referenced Objects"/>
    <hyperlink ref="D25" location="'Embedded SQL Program-Obj Xref'!A1" display="Embedded SQL Program-Obj Xref"/>
    <hyperlink ref="D26" location="'RAW_PROGRAM_OBJECT_XREF'!A1" display="RAW_PROGRAM_OBJECT_XREF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149</v>
      </c>
      <c r="B1" s="2" t="s">
        <v>23</v>
      </c>
      <c r="C1" s="2" t="s">
        <v>24</v>
      </c>
      <c r="D1" s="2" t="s">
        <v>150</v>
      </c>
      <c r="E1" s="2" t="s">
        <v>93</v>
      </c>
      <c r="F1" s="2" t="s">
        <v>151</v>
      </c>
      <c r="G1" s="2" t="s">
        <v>152</v>
      </c>
      <c r="H1" s="2" t="s">
        <v>153</v>
      </c>
      <c r="I1" s="2" t="s">
        <v>28</v>
      </c>
      <c r="J1" s="2" t="s">
        <v>29</v>
      </c>
      <c r="K1" s="2" t="s">
        <v>30</v>
      </c>
      <c r="L1" s="2" t="s">
        <v>154</v>
      </c>
    </row>
    <row r="2" spans="1:12">
      <c r="A2" s="6" t="s">
        <v>155</v>
      </c>
      <c r="B2" s="6" t="s">
        <v>156</v>
      </c>
      <c r="C2" s="6" t="s">
        <v>34</v>
      </c>
      <c r="D2" s="6">
        <v>1</v>
      </c>
      <c r="E2" s="6" t="s">
        <v>35</v>
      </c>
      <c r="F2" s="6">
        <v>1</v>
      </c>
      <c r="G2" s="6">
        <v>0</v>
      </c>
      <c r="H2" s="6" t="s">
        <v>157</v>
      </c>
      <c r="I2" s="6" t="s">
        <v>158</v>
      </c>
      <c r="J2" s="6" t="s">
        <v>159</v>
      </c>
      <c r="K2" s="6" t="s">
        <v>105</v>
      </c>
      <c r="L2" s="6" t="s">
        <v>96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160</v>
      </c>
      <c r="B1" s="2" t="s">
        <v>52</v>
      </c>
    </row>
    <row r="2" spans="1:2">
      <c r="A2" s="6" t="s">
        <v>157</v>
      </c>
      <c r="B2" s="6">
        <v>1</v>
      </c>
    </row>
  </sheetData>
  <autoFilter ref="A1:B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161</v>
      </c>
      <c r="B1" s="2" t="s">
        <v>52</v>
      </c>
    </row>
  </sheetData>
  <autoFilter ref="A1:B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61</v>
      </c>
      <c r="B1" s="2" t="s">
        <v>62</v>
      </c>
    </row>
    <row r="2" spans="1:2">
      <c r="A2" s="6" t="s">
        <v>85</v>
      </c>
      <c r="B2" s="6">
        <v>1</v>
      </c>
    </row>
    <row r="3" spans="1:2">
      <c r="A3" s="6" t="s">
        <v>87</v>
      </c>
      <c r="B3" s="6">
        <v>1</v>
      </c>
    </row>
    <row r="4" spans="1:2">
      <c r="A4" s="6" t="s">
        <v>86</v>
      </c>
      <c r="B4" s="6">
        <v>1</v>
      </c>
    </row>
  </sheetData>
  <autoFilter ref="A1:B4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163</v>
      </c>
      <c r="B1" s="2" t="s">
        <v>61</v>
      </c>
      <c r="C1" s="2" t="s">
        <v>62</v>
      </c>
    </row>
    <row r="2" spans="1:3">
      <c r="A2" s="6" t="s">
        <v>156</v>
      </c>
      <c r="B2" s="6" t="s">
        <v>87</v>
      </c>
      <c r="C2" s="6">
        <v>1</v>
      </c>
    </row>
    <row r="3" spans="1:3">
      <c r="A3" s="6" t="s">
        <v>156</v>
      </c>
      <c r="B3" s="6" t="s">
        <v>86</v>
      </c>
      <c r="C3" s="6">
        <v>1</v>
      </c>
    </row>
    <row r="4" spans="1:3">
      <c r="A4" s="6" t="s">
        <v>156</v>
      </c>
      <c r="B4" s="6" t="s">
        <v>85</v>
      </c>
      <c r="C4" s="6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80.7109375" customWidth="1"/>
    <col min="2" max="4" width="15.7109375" customWidth="1"/>
  </cols>
  <sheetData>
    <row r="1" spans="1:4">
      <c r="A1" s="2" t="s">
        <v>163</v>
      </c>
      <c r="B1" s="8" t="s">
        <v>85</v>
      </c>
      <c r="C1" s="8" t="s">
        <v>87</v>
      </c>
      <c r="D1" s="8" t="s">
        <v>86</v>
      </c>
    </row>
    <row r="2" spans="1:4">
      <c r="A2" s="6" t="s">
        <v>156</v>
      </c>
      <c r="B2" s="6">
        <v>1</v>
      </c>
      <c r="C2" s="6">
        <v>1</v>
      </c>
      <c r="D2" s="6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8" t="s">
        <v>164</v>
      </c>
      <c r="B1" s="8" t="s">
        <v>165</v>
      </c>
      <c r="C1" s="8" t="s">
        <v>166</v>
      </c>
      <c r="D1" s="8" t="s">
        <v>167</v>
      </c>
      <c r="E1" s="8" t="s">
        <v>168</v>
      </c>
      <c r="F1" s="8" t="s">
        <v>169</v>
      </c>
      <c r="G1" s="8" t="s">
        <v>170</v>
      </c>
    </row>
    <row r="2" spans="1:7">
      <c r="A2" s="6" t="s">
        <v>171</v>
      </c>
      <c r="C2" s="7">
        <v>1</v>
      </c>
    </row>
  </sheetData>
  <autoFilter ref="A1:G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30.7109375" customWidth="1"/>
  </cols>
  <sheetData>
    <row r="1" spans="1:2">
      <c r="B1" s="8" t="s">
        <v>171</v>
      </c>
    </row>
    <row r="2" spans="1:2">
      <c r="A2" s="2" t="s">
        <v>156</v>
      </c>
      <c r="B2" s="7" t="s">
        <v>172</v>
      </c>
    </row>
  </sheetData>
  <autoFilter ref="A1:B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30.7109375" customWidth="1"/>
  </cols>
  <sheetData>
    <row r="1" spans="1:4">
      <c r="A1" s="8" t="s">
        <v>173</v>
      </c>
      <c r="B1" s="8" t="s">
        <v>174</v>
      </c>
      <c r="C1" s="8" t="s">
        <v>175</v>
      </c>
      <c r="D1" s="8" t="s">
        <v>60</v>
      </c>
    </row>
    <row r="2" spans="1:4">
      <c r="A2" s="6" t="s">
        <v>156</v>
      </c>
      <c r="B2" s="6" t="s">
        <v>171</v>
      </c>
      <c r="C2" s="6" t="s">
        <v>166</v>
      </c>
      <c r="D2" s="6">
        <v>1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Job Details</vt:lpstr>
      <vt:lpstr>Transformations</vt:lpstr>
      <vt:lpstr>Jobs Transformations Xref</vt:lpstr>
      <vt:lpstr>Jobs Transformations List</vt:lpstr>
      <vt:lpstr>Functions</vt:lpstr>
      <vt:lpstr>Functions by Job</vt:lpstr>
      <vt:lpstr>SQL Functions by Job</vt:lpstr>
      <vt:lpstr>Subject Areas</vt:lpstr>
      <vt:lpstr>SQL Statements</vt:lpstr>
      <vt:lpstr>Combined Checksums</vt:lpstr>
      <vt:lpstr>Transformation Expressions</vt:lpstr>
      <vt:lpstr>Extended Script Information</vt:lpstr>
      <vt:lpstr>Packages</vt:lpstr>
      <vt:lpstr>Comments</vt:lpstr>
      <vt:lpstr>Embedded SQL Summary</vt:lpstr>
      <vt:lpstr>Embedded SQL Programs</vt:lpstr>
      <vt:lpstr>Embedded SQL Script Categories</vt:lpstr>
      <vt:lpstr>Embedded SQL UNKNOWN Category</vt:lpstr>
      <vt:lpstr>Embedded SQL Functions</vt:lpstr>
      <vt:lpstr>Embedded SQL Func by Script</vt:lpstr>
      <vt:lpstr>Embedded SQL Scripts Func Xref</vt:lpstr>
      <vt:lpstr>Embedded SQL Referenced Objects</vt:lpstr>
      <vt:lpstr>Embedded SQL Program-Obj Xref</vt:lpstr>
      <vt:lpstr>RAW_PROGRAM_OBJECT_XREF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2026-04-10T06:15:27Z</dcterms:created>
  <dcterms:modified xsi:type="dcterms:W3CDTF">2026-04-10T06:15:27Z</dcterms:modified>
</cp:coreProperties>
</file>