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Functions" sheetId="5" r:id="rId5"/>
    <sheet name="Functions by Script" sheetId="6" r:id="rId6"/>
    <sheet name="Scripts Functions Xref" sheetId="7" r:id="rId7"/>
    <sheet name="Referenced Objects" sheetId="8" r:id="rId8"/>
    <sheet name="Program-Object Xref" sheetId="9" r:id="rId9"/>
    <sheet name="RAW_PROGRAM_OBJECT_XREF" sheetId="10" r:id="rId10"/>
    <sheet name="RAW_PROGRAM_PARAM_LIST" sheetId="11" r:id="rId11"/>
    <sheet name="SQL Data Types" sheetId="12" r:id="rId12"/>
  </sheets>
  <definedNames>
    <definedName name="_xlnm._FilterDatabase" localSheetId="4" hidden="1">Functions!$A$1:$B$6</definedName>
    <definedName name="_xlnm._FilterDatabase" localSheetId="8" hidden="1">'Program-Object Xref'!$A$1:$C$5</definedName>
    <definedName name="_xlnm._FilterDatabase" localSheetId="9" hidden="1">RAW_PROGRAM_OBJECT_XREF!$A$1:$D$5</definedName>
    <definedName name="_xlnm._FilterDatabase" localSheetId="10" hidden="1">RAW_PROGRAM_PARAM_LIST!$A$1:$C$2</definedName>
    <definedName name="_xlnm._FilterDatabase" localSheetId="7" hidden="1">'Referenced Objects'!$A$1:$G$3</definedName>
    <definedName name="_xlnm._FilterDatabase" localSheetId="11" hidden="1">'SQL Data Types'!$A$1:$B$4</definedName>
    <definedName name="_xlnm._FilterDatabase" localSheetId="1" hidden="1">'SQL Programs'!$A$1:$L$5</definedName>
    <definedName name="_xlnm._FilterDatabase" localSheetId="2" hidden="1">'SQL Script Categories'!$A$1:$B$8</definedName>
    <definedName name="_xlnm._FilterDatabase" localSheetId="3" hidden="1">'UNKNOWN SQL Category'!$A$1:$B$2</definedName>
  </definedNames>
  <calcPr calcId="124519" fullCalcOnLoad="1"/>
</workbook>
</file>

<file path=xl/sharedStrings.xml><?xml version="1.0" encoding="utf-8"?>
<sst xmlns="http://schemas.openxmlformats.org/spreadsheetml/2006/main" count="190" uniqueCount="130">
  <si>
    <t>Run date/time: 2026-04-09 17:03:15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</si>
  <si>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</si>
  <si>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</si>
  <si>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</si>
  <si>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</si>
  <si>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</si>
  <si>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</si>
  <si>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</si>
  <si>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</si>
  <si>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</si>
  <si>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</si>
  <si>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</si>
  <si>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</si>
  <si>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</si>
  <si>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</si>
  <si>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</si>
  <si>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</si>
  <si>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</si>
  <si>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</si>
  <si>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</si>
  <si>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</si>
  <si>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5.6.7 Build 20260227</t>
  </si>
  <si>
    <t>Command Line Options:</t>
  </si>
  <si>
    <t>Option</t>
  </si>
  <si>
    <t>Value</t>
  </si>
  <si>
    <t>-E</t>
  </si>
  <si>
    <t>-F</t>
  </si>
  <si>
    <t>-d</t>
  </si>
  <si>
    <t>/Users/tanishkchaturvedi/Desktop/Tanishk Chaturvedi/WORK/CONSULATNCY/SYREN/lakebrdige/source_hive</t>
  </si>
  <si>
    <t>-e</t>
  </si>
  <si>
    <t>-r</t>
  </si>
  <si>
    <t>/Users/tanishkchaturvedi/Desktop/Tanishk Chaturvedi/WORK/CONSULATNCY/SYREN/lakebrdige/output/hive_analysis.xlsx</t>
  </si>
  <si>
    <t>-t</t>
  </si>
  <si>
    <t>SQL</t>
  </si>
  <si>
    <t>Analyzer run duration:</t>
  </si>
  <si>
    <t>0h, 0m, 0s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</si>
  <si>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</si>
  <si>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</si>
  <si>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</si>
  <si>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</si>
  <si>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</si>
  <si>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</si>
  <si>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</si>
  <si>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</si>
  <si>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</si>
  <si>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</si>
  <si>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</si>
  <si>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</si>
  <si>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01_setup_database.hql</t>
  </si>
  <si>
    <t>/Users/tanishkchaturvedi/Desktop/Tanishk Chaturvedi/WORK/CONSULATNCY/SYREN/lakebrdige/source_hive/01_setup_database.hql</t>
  </si>
  <si>
    <t>YES</t>
  </si>
  <si>
    <t>LOW</t>
  </si>
  <si>
    <t>TABLE_DDL_IF_NOT_EXISTS,UNKNOWN,USE_DIRECTIVE</t>
  </si>
  <si>
    <t>Total Statement count: 3, Conventional Statement count: 3, Simple Statement count: 0, Pivot functions: 0, XML functions: 0, Loops: 0, Medium category breaks: 0, High category breaks: 0</t>
  </si>
  <si>
    <t>68E73D942CDD35039030492592070BB6</t>
  </si>
  <si>
    <t>e26b5521e6c9b6a538fbf4fec85a3d9890c611f56292d4238b3d31c5ee510a8e1774c30a7915130180bab3f2fc8068c13eb55511ff16dfc8ff359746766bf2c5cd52c699ca6a206b1b53701d62cb7bb4</t>
  </si>
  <si>
    <t>02_insert_data.hql</t>
  </si>
  <si>
    <t>/Users/tanishkchaturvedi/Desktop/Tanishk Chaturvedi/WORK/CONSULATNCY/SYREN/lakebrdige/source_hive/02_insert_data.hql</t>
  </si>
  <si>
    <t>INSERT_INTO,USE_DIRECTIVE</t>
  </si>
  <si>
    <t>Total Statement count: 2, Conventional Statement count: 1, Simple Statement count: 1, Pivot functions: 0, XML functions: 0, Loops: 0, Medium category breaks: 0, High category breaks: 0</t>
  </si>
  <si>
    <t>9318265765CC319E6BE1694B7C3D5996</t>
  </si>
  <si>
    <t>e31c34ccb79db986feb2bc6524e578476f71abd3ae0eed1229e5ca1a796859841774c30a7915130180bab3f2fc8068c13eb55511ff16dfc801259b1933e10e2ef08a62b4ef483ac70c9f6d4df6da6aa1</t>
  </si>
  <si>
    <t>03_transform_data.hql</t>
  </si>
  <si>
    <t>/Users/tanishkchaturvedi/Desktop/Tanishk Chaturvedi/WORK/CONSULATNCY/SYREN/lakebrdige/source_hive/03_transform_data.hql</t>
  </si>
  <si>
    <t>INSERT_OVERWRITE_WITH_PARTITION,TABLE_DDL_IF_NOT_EXISTS,USE_DIRECTIVE</t>
  </si>
  <si>
    <t>1942F81DE710A71DD9AA37C3A2090BC6</t>
  </si>
  <si>
    <t>8d44d2ffa1502081b45cb0748e793b74ba37456280a19f8837d7828fff183c201774c30a7915130180bab3f2fc8068c13eb55511ff16dfc88b233b3035b062ebe6639bad8c908dc203d93dabbb65c353</t>
  </si>
  <si>
    <t>04_maintenance.hql</t>
  </si>
  <si>
    <t>/Users/tanishkchaturvedi/Desktop/Tanishk Chaturvedi/WORK/CONSULATNCY/SYREN/lakebrdige/source_hive/04_maintenance.hql</t>
  </si>
  <si>
    <t>ALTER_TABLE,INSERT_OVERWRITE,USE_DIRECTIVE</t>
  </si>
  <si>
    <t>A6DE55B47D52FBA57178F0D595972041</t>
  </si>
  <si>
    <t>5ea22fbee4e36ac851d2f85dd7d27d2a7702fd827faf021daebec2c918e6a9931774c30a7915130180bab3f2fc8068c13eb55511ff16dfc8bc3249a7581be84a3ddad45334ed12c00c9f6d4df6da6aa1</t>
  </si>
  <si>
    <t>SQL Script Categories</t>
  </si>
  <si>
    <t># of Occurrences</t>
  </si>
  <si>
    <t>ALTER_TABLE</t>
  </si>
  <si>
    <t>INSERT_INTO</t>
  </si>
  <si>
    <t>INSERT_OVERWRITE</t>
  </si>
  <si>
    <t>INSERT_OVERWRITE_WITH_PARTITION</t>
  </si>
  <si>
    <t>TABLE_DDL_IF_NOT_EXISTS</t>
  </si>
  <si>
    <t>UNKNOWN</t>
  </si>
  <si>
    <t>USE_DIRECTIVE</t>
  </si>
  <si>
    <t>SQL unknown category scripts</t>
  </si>
  <si>
    <t>CREATE DATABASE IF NOT EXISTS retail_db COMMENT 'Database for retail business data';</t>
  </si>
  <si>
    <t>ETL</t>
  </si>
  <si>
    <t>Job Complexity Categorization</t>
  </si>
  <si>
    <t>Procedure or Function</t>
  </si>
  <si>
    <t>MEDIUM</t>
  </si>
  <si>
    <t>HIGH</t>
  </si>
  <si>
    <t>VERY_HIGH</t>
  </si>
  <si>
    <t>Function</t>
  </si>
  <si>
    <t># of Calls</t>
  </si>
  <si>
    <t>LOWER</t>
  </si>
  <si>
    <t>COLUMNS</t>
  </si>
  <si>
    <t>CUSTOMERS</t>
  </si>
  <si>
    <t>TRANSACTIONS</t>
  </si>
  <si>
    <t>CONCAT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</si>
  <si>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</si>
  <si>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</si>
  <si>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</si>
  <si>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</si>
  <si>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</si>
  <si>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</si>
  <si>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</si>
  <si>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</si>
  <si>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customers</t>
  </si>
  <si>
    <t>transactions</t>
  </si>
  <si>
    <t>CREATE: 1</t>
  </si>
  <si>
    <t>READ: 1, WRITE: 1</t>
  </si>
  <si>
    <t>Program</t>
  </si>
  <si>
    <t>Object</t>
  </si>
  <si>
    <t>Operation</t>
  </si>
  <si>
    <t>Count</t>
  </si>
  <si>
    <t>Parameter Name</t>
  </si>
  <si>
    <t>@email</t>
  </si>
  <si>
    <t>DDL DataType</t>
  </si>
  <si>
    <t>DOUBLE</t>
  </si>
  <si>
    <t>INT</t>
  </si>
  <si>
    <t>STRING</t>
  </si>
  <si>
    <t>Worksheet Index</t>
  </si>
  <si>
    <t>Summary</t>
  </si>
  <si>
    <t>SQL Programs</t>
  </si>
  <si>
    <t>UNKNOWN SQL Category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</si>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</sst>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118</v>
      </c>
      <c r="E1" s="2" t="s">
        <v>21</v>
      </c>
      <c r="F1" s="2"/>
    </row>
    <row r="2" spans="1:6">
      <c r="D2" s="3" t="s">
        <v>119</v>
      </c>
      <c r="E2" s="2" t="s">
        <v>22</v>
      </c>
      <c r="F2" s="2"/>
    </row>
    <row r="3" spans="1:6">
      <c r="A3" s="4" t="s">
        <v>1</v>
      </c>
      <c r="B3" s="4"/>
      <c r="D3" s="3" t="s">
        <v>120</v>
      </c>
      <c r="E3" s="2" t="s">
        <v>23</v>
      </c>
      <c r="F3" s="2" t="s">
        <v>24</v>
      </c>
    </row>
    <row r="4" spans="1:6">
      <c r="A4" s="1" t="s">
        <v>2</v>
      </c>
      <c r="B4" s="5">
        <v>4</v>
      </c>
      <c r="D4" s="3" t="s">
        <v>72</v>
      </c>
      <c r="E4" s="2" t="s">
        <v>25</v>
      </c>
      <c r="F4" s="6"/>
    </row>
    <row r="5" spans="1:6">
      <c r="A5" s="1" t="s">
        <v>3</v>
      </c>
      <c r="B5" s="5">
        <v>4</v>
      </c>
      <c r="D5" s="3" t="s">
        <v>121</v>
      </c>
      <c r="E5" s="2" t="s">
        <v>26</v>
      </c>
      <c r="F5" s="6">
        <v>10000000000000</v>
      </c>
    </row>
    <row r="6" spans="1:6">
      <c r="A6" s="1" t="s">
        <v>4</v>
      </c>
      <c r="B6" s="5">
        <v>2</v>
      </c>
      <c r="D6" s="3" t="s">
        <v>122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123</v>
      </c>
      <c r="E7" s="2" t="s">
        <v>29</v>
      </c>
      <c r="F7" s="6">
        <v>1</v>
      </c>
    </row>
    <row r="8" spans="1:6">
      <c r="A8" s="1" t="s">
        <v>6</v>
      </c>
      <c r="B8" s="5">
        <v>2</v>
      </c>
      <c r="D8" s="3" t="s">
        <v>124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125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126</v>
      </c>
      <c r="E10" s="2" t="s">
        <v>34</v>
      </c>
    </row>
    <row r="11" spans="1:6">
      <c r="A11" s="1" t="s">
        <v>9</v>
      </c>
      <c r="B11" s="5">
        <v>0</v>
      </c>
      <c r="D11" s="3" t="s">
        <v>127</v>
      </c>
      <c r="E11" s="6" t="s">
        <v>35</v>
      </c>
    </row>
    <row r="12" spans="1:6">
      <c r="A12" s="1" t="s">
        <v>10</v>
      </c>
      <c r="B12" s="5">
        <v>0</v>
      </c>
      <c r="D12" s="3" t="s">
        <v>128</v>
      </c>
    </row>
    <row r="13" spans="1:6">
      <c r="A13" s="1" t="s">
        <v>11</v>
      </c>
      <c r="B13" s="5">
        <v>0</v>
      </c>
      <c r="D13" s="3" t="s">
        <v>129</v>
      </c>
    </row>
    <row r="14" spans="1:6">
      <c r="A14" s="1" t="s">
        <v>12</v>
      </c>
      <c r="B14" s="5">
        <v>0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49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83</v>
      </c>
    </row>
    <row r="25" spans="1:3">
      <c r="A25" s="4" t="s">
        <v>84</v>
      </c>
      <c r="B25" s="4"/>
      <c r="C25" s="4" t="s">
        <v>85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86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87</v>
      </c>
      <c r="B28" s="5">
        <f>COUNTIFS('SQL Programs'!E:E,"HIGH",'SQL Programs'!C:C,"YES",'SQL Programs'!L:L,"SQL")</f>
        <v>0</v>
      </c>
      <c r="C28" s="5">
        <f>SUMIFS('SQL Programs'!G:G,'SQL Programs'!E:E,"HIGH",'SQL Programs'!C:C,"YES",'SQL Programs'!L:L,"ETL")</f>
        <v>0</v>
      </c>
    </row>
    <row r="29" spans="1:3">
      <c r="A29" s="1" t="s">
        <v>88</v>
      </c>
      <c r="B29" s="5">
        <f>COUNTIFS('SQL Programs'!E:E,"VERY_HIGH",'SQL Programs'!C:C,"YES",'SQL Programs'!L:L,"SQL")</f>
        <v>0</v>
      </c>
      <c r="C29" s="5">
        <f>SUMIFS('SQL Programs'!G:G,'SQL Programs'!E:E,"VERY_HIGH",'SQL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Functions'!A1" display="Functions"/>
    <hyperlink ref="D7" location="'Functions by Script'!A1" display="Functions by Script"/>
    <hyperlink ref="D8" location="'Scripts Functions Xref'!A1" display="Scripts Functions Xref"/>
    <hyperlink ref="D9" location="'Referenced Objects'!A1" display="Referenced Objects"/>
    <hyperlink ref="D10" location="'Program-Object Xref'!A1" display="Program-Object Xref"/>
    <hyperlink ref="D11" location="'RAW_PROGRAM_OBJECT_XREF'!A1" display="RAW_PROGRAM_OBJECT_XREF"/>
    <hyperlink ref="D12" location="'RAW_PROGRAM_PARAM_LIST'!A1" display="RAW_PROGRAM_PARAM_LIST"/>
    <hyperlink ref="D13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16</v>
      </c>
      <c r="E2" s="6" t="s">
        <v>51</v>
      </c>
      <c r="F2" s="6">
        <v>3</v>
      </c>
      <c r="G2" s="6">
        <v>0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33</v>
      </c>
    </row>
    <row r="3" spans="1:12">
      <c r="A3" s="6" t="s">
        <v>56</v>
      </c>
      <c r="B3" s="6" t="s">
        <v>57</v>
      </c>
      <c r="C3" s="6" t="s">
        <v>50</v>
      </c>
      <c r="D3" s="6">
        <v>8</v>
      </c>
      <c r="E3" s="6" t="s">
        <v>51</v>
      </c>
      <c r="F3" s="6">
        <v>2</v>
      </c>
      <c r="G3" s="6">
        <v>0</v>
      </c>
      <c r="H3" s="6" t="s">
        <v>58</v>
      </c>
      <c r="I3" s="6" t="s">
        <v>59</v>
      </c>
      <c r="J3" s="6" t="s">
        <v>60</v>
      </c>
      <c r="K3" s="6" t="s">
        <v>61</v>
      </c>
      <c r="L3" s="6" t="s">
        <v>33</v>
      </c>
    </row>
    <row r="4" spans="1:12">
      <c r="A4" s="6" t="s">
        <v>62</v>
      </c>
      <c r="B4" s="6" t="s">
        <v>63</v>
      </c>
      <c r="C4" s="6" t="s">
        <v>50</v>
      </c>
      <c r="D4" s="6">
        <v>14</v>
      </c>
      <c r="E4" s="6" t="s">
        <v>51</v>
      </c>
      <c r="F4" s="6">
        <v>3</v>
      </c>
      <c r="G4" s="6">
        <v>0</v>
      </c>
      <c r="H4" s="6" t="s">
        <v>64</v>
      </c>
      <c r="I4" s="6" t="s">
        <v>53</v>
      </c>
      <c r="J4" s="6" t="s">
        <v>65</v>
      </c>
      <c r="K4" s="6" t="s">
        <v>66</v>
      </c>
      <c r="L4" s="6" t="s">
        <v>33</v>
      </c>
    </row>
    <row r="5" spans="1:12">
      <c r="A5" s="6" t="s">
        <v>67</v>
      </c>
      <c r="B5" s="6" t="s">
        <v>68</v>
      </c>
      <c r="C5" s="6" t="s">
        <v>50</v>
      </c>
      <c r="D5" s="6">
        <v>11</v>
      </c>
      <c r="E5" s="6" t="s">
        <v>51</v>
      </c>
      <c r="F5" s="6">
        <v>3</v>
      </c>
      <c r="G5" s="6">
        <v>0</v>
      </c>
      <c r="H5" s="6" t="s">
        <v>69</v>
      </c>
      <c r="I5" s="6" t="s">
        <v>53</v>
      </c>
      <c r="J5" s="6" t="s">
        <v>70</v>
      </c>
      <c r="K5" s="6" t="s">
        <v>71</v>
      </c>
      <c r="L5" s="6" t="s">
        <v>33</v>
      </c>
    </row>
  </sheetData>
  <autoFilter ref="A1:L5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72</v>
      </c>
      <c r="B1" s="2" t="s">
        <v>73</v>
      </c>
    </row>
    <row r="2" spans="1:2">
      <c r="A2" s="6" t="s">
        <v>74</v>
      </c>
      <c r="B2" s="6">
        <v>1</v>
      </c>
    </row>
    <row r="3" spans="1:2">
      <c r="A3" s="6" t="s">
        <v>75</v>
      </c>
      <c r="B3" s="6">
        <v>1</v>
      </c>
    </row>
    <row r="4" spans="1:2">
      <c r="A4" s="6" t="s">
        <v>76</v>
      </c>
      <c r="B4" s="6">
        <v>1</v>
      </c>
    </row>
    <row r="5" spans="1:2">
      <c r="A5" s="6" t="s">
        <v>77</v>
      </c>
      <c r="B5" s="6">
        <v>1</v>
      </c>
    </row>
    <row r="6" spans="1:2">
      <c r="A6" s="6" t="s">
        <v>78</v>
      </c>
      <c r="B6" s="6">
        <v>2</v>
      </c>
    </row>
    <row r="7" spans="1:2">
      <c r="A7" s="6" t="s">
        <v>79</v>
      </c>
      <c r="B7" s="6">
        <v>1</v>
      </c>
    </row>
    <row r="8" spans="1:2">
      <c r="A8" s="6" t="s">
        <v>80</v>
      </c>
      <c r="B8" s="6">
        <v>4</v>
      </c>
    </row>
  </sheetData>
  <autoFilter ref="A1:B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81</v>
      </c>
      <c r="B1" s="2" t="s">
        <v>73</v>
      </c>
    </row>
    <row r="2" spans="1:2">
      <c r="A2" s="6" t="s">
        <v>82</v>
      </c>
      <c r="B2" s="6">
        <v>1</v>
      </c>
    </row>
  </sheetData>
  <autoFilter ref="A1:B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89</v>
      </c>
      <c r="B1" s="2" t="s">
        <v>90</v>
      </c>
    </row>
    <row r="2" spans="1:2">
      <c r="A2" s="6" t="s">
        <v>91</v>
      </c>
      <c r="B2" s="6">
        <v>2</v>
      </c>
    </row>
    <row r="3" spans="1:2">
      <c r="A3" s="6" t="s">
        <v>92</v>
      </c>
      <c r="B3" s="6">
        <v>1</v>
      </c>
    </row>
    <row r="4" spans="1:2">
      <c r="A4" s="6" t="s">
        <v>93</v>
      </c>
      <c r="B4" s="6">
        <v>1</v>
      </c>
    </row>
    <row r="5" spans="1:2">
      <c r="A5" s="6" t="s">
        <v>94</v>
      </c>
      <c r="B5" s="6">
        <v>1</v>
      </c>
    </row>
    <row r="6" spans="1:2">
      <c r="A6" s="6" t="s">
        <v>95</v>
      </c>
      <c r="B6" s="6">
        <v>1</v>
      </c>
    </row>
  </sheetData>
  <autoFilter ref="A1:B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96</v>
      </c>
      <c r="B1" s="2" t="s">
        <v>89</v>
      </c>
      <c r="C1" s="2" t="s">
        <v>90</v>
      </c>
    </row>
    <row r="2" spans="1:3">
      <c r="A2" s="6" t="s">
        <v>68</v>
      </c>
      <c r="B2" s="6" t="s">
        <v>95</v>
      </c>
      <c r="C2" s="6">
        <v>1</v>
      </c>
    </row>
    <row r="3" spans="1:3">
      <c r="A3" s="6" t="s">
        <v>68</v>
      </c>
      <c r="B3" s="6" t="s">
        <v>91</v>
      </c>
      <c r="C3" s="6">
        <v>2</v>
      </c>
    </row>
    <row r="4" spans="1:3">
      <c r="A4" s="6" t="s">
        <v>68</v>
      </c>
      <c r="B4" s="6" t="s">
        <v>92</v>
      </c>
      <c r="C4" s="6">
        <v>1</v>
      </c>
    </row>
    <row r="5" spans="1:3">
      <c r="A5" s="6" t="s">
        <v>49</v>
      </c>
      <c r="B5" s="6" t="s">
        <v>93</v>
      </c>
      <c r="C5" s="6">
        <v>1</v>
      </c>
    </row>
    <row r="6" spans="1:3">
      <c r="A6" s="6" t="s">
        <v>63</v>
      </c>
      <c r="B6" s="6" t="s">
        <v>94</v>
      </c>
      <c r="C6" s="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80.7109375" customWidth="1"/>
    <col min="2" max="6" width="15.7109375" customWidth="1"/>
  </cols>
  <sheetData>
    <row r="1" spans="1:6">
      <c r="A1" s="2" t="s">
        <v>96</v>
      </c>
      <c r="B1" s="7" t="s">
        <v>91</v>
      </c>
      <c r="C1" s="7" t="s">
        <v>92</v>
      </c>
      <c r="D1" s="7" t="s">
        <v>93</v>
      </c>
      <c r="E1" s="7" t="s">
        <v>94</v>
      </c>
      <c r="F1" s="7" t="s">
        <v>95</v>
      </c>
    </row>
    <row r="2" spans="1:6">
      <c r="A2" s="6" t="s">
        <v>68</v>
      </c>
      <c r="B2" s="6">
        <v>2</v>
      </c>
      <c r="C2" s="6">
        <v>1</v>
      </c>
      <c r="F2" s="6">
        <v>1</v>
      </c>
    </row>
    <row r="3" spans="1:6">
      <c r="A3" s="6" t="s">
        <v>49</v>
      </c>
      <c r="D3" s="6">
        <v>1</v>
      </c>
    </row>
    <row r="4" spans="1:6">
      <c r="A4" s="6" t="s">
        <v>63</v>
      </c>
      <c r="E4" s="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7" t="s">
        <v>97</v>
      </c>
      <c r="B1" s="7" t="s">
        <v>98</v>
      </c>
      <c r="C1" s="7" t="s">
        <v>99</v>
      </c>
      <c r="D1" s="7" t="s">
        <v>100</v>
      </c>
      <c r="E1" s="7" t="s">
        <v>101</v>
      </c>
      <c r="F1" s="7" t="s">
        <v>102</v>
      </c>
      <c r="G1" s="7" t="s">
        <v>103</v>
      </c>
    </row>
    <row r="2" spans="1:7">
      <c r="A2" s="6" t="s">
        <v>104</v>
      </c>
      <c r="B2" s="8">
        <v>1</v>
      </c>
      <c r="C2" s="8">
        <v>1</v>
      </c>
      <c r="D2" s="8">
        <v>1</v>
      </c>
    </row>
    <row r="3" spans="1:7">
      <c r="A3" s="6" t="s">
        <v>105</v>
      </c>
      <c r="B3" s="8">
        <v>1</v>
      </c>
    </row>
  </sheetData>
  <autoFilter ref="A1:G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3" width="30.7109375" customWidth="1"/>
  </cols>
  <sheetData>
    <row r="1" spans="1:3">
      <c r="B1" s="7" t="s">
        <v>104</v>
      </c>
      <c r="C1" s="7" t="s">
        <v>105</v>
      </c>
    </row>
    <row r="2" spans="1:3">
      <c r="A2" s="2" t="s">
        <v>49</v>
      </c>
      <c r="B2" s="8" t="s">
        <v>106</v>
      </c>
    </row>
    <row r="3" spans="1:3">
      <c r="A3" s="2" t="s">
        <v>57</v>
      </c>
    </row>
    <row r="4" spans="1:3">
      <c r="A4" s="2" t="s">
        <v>63</v>
      </c>
      <c r="C4" s="8" t="s">
        <v>106</v>
      </c>
    </row>
    <row r="5" spans="1:3">
      <c r="A5" s="2" t="s">
        <v>68</v>
      </c>
      <c r="B5" s="8" t="s">
        <v>107</v>
      </c>
    </row>
  </sheetData>
  <autoFilter ref="A1:C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30.7109375" customWidth="1"/>
  </cols>
  <sheetData>
    <row r="1" spans="1:4">
      <c r="A1" s="7" t="s">
        <v>108</v>
      </c>
      <c r="B1" s="7" t="s">
        <v>109</v>
      </c>
      <c r="C1" s="7" t="s">
        <v>110</v>
      </c>
      <c r="D1" s="7" t="s">
        <v>111</v>
      </c>
    </row>
    <row r="2" spans="1:4">
      <c r="A2" s="6" t="s">
        <v>49</v>
      </c>
      <c r="B2" s="6" t="s">
        <v>104</v>
      </c>
      <c r="C2" s="6" t="s">
        <v>98</v>
      </c>
      <c r="D2" s="6">
        <v>1</v>
      </c>
    </row>
    <row r="3" spans="1:4">
      <c r="A3" s="6" t="s">
        <v>63</v>
      </c>
      <c r="B3" s="6" t="s">
        <v>105</v>
      </c>
      <c r="C3" s="6" t="s">
        <v>98</v>
      </c>
      <c r="D3" s="6">
        <v>1</v>
      </c>
    </row>
    <row r="4" spans="1:4">
      <c r="A4" s="6" t="s">
        <v>68</v>
      </c>
      <c r="B4" s="6" t="s">
        <v>104</v>
      </c>
      <c r="C4" s="6" t="s">
        <v>99</v>
      </c>
      <c r="D4" s="6">
        <v>1</v>
      </c>
    </row>
    <row r="5" spans="1:4">
      <c r="A5" s="6" t="s">
        <v>68</v>
      </c>
      <c r="B5" s="6" t="s">
        <v>104</v>
      </c>
      <c r="C5" s="6" t="s">
        <v>100</v>
      </c>
      <c r="D5" s="6">
        <v>1</v>
      </c>
    </row>
  </sheetData>
  <autoFilter ref="A1:D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30.7109375" customWidth="1"/>
  </cols>
  <sheetData>
    <row r="1" spans="1:3">
      <c r="A1" s="7" t="s">
        <v>108</v>
      </c>
      <c r="B1" s="7" t="s">
        <v>112</v>
      </c>
      <c r="C1" s="7" t="s">
        <v>111</v>
      </c>
    </row>
    <row r="2" spans="1:3">
      <c r="A2" s="6" t="s">
        <v>68</v>
      </c>
      <c r="B2" s="6" t="s">
        <v>113</v>
      </c>
      <c r="C2" s="6">
        <v>1</v>
      </c>
    </row>
  </sheetData>
  <autoFilter ref="A1:C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114</v>
      </c>
      <c r="B1" s="2" t="s">
        <v>73</v>
      </c>
    </row>
    <row r="2" spans="1:2">
      <c r="A2" s="6" t="s">
        <v>115</v>
      </c>
      <c r="B2" s="6">
        <v>1</v>
      </c>
    </row>
    <row r="3" spans="1:2">
      <c r="A3" s="6" t="s">
        <v>116</v>
      </c>
      <c r="B3" s="6">
        <v>4</v>
      </c>
    </row>
    <row r="4" spans="1:2">
      <c r="A4" s="6" t="s">
        <v>117</v>
      </c>
      <c r="B4" s="6">
        <v>3</v>
      </c>
    </row>
  </sheetData>
  <autoFilter ref="A1:B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SQL Programs</vt:lpstr>
      <vt:lpstr>SQL Script Categories</vt:lpstr>
      <vt:lpstr>UNKNOWN SQL Category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2026-04-09T11:33:16Z</dcterms:created>
  <dcterms:modified xsi:type="dcterms:W3CDTF">2026-04-09T11:33:16Z</dcterms:modified>
</cp:coreProperties>
</file>